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me\Desktop\Dropstok\Sistema\data_external\"/>
    </mc:Choice>
  </mc:AlternateContent>
  <xr:revisionPtr revIDLastSave="0" documentId="13_ncr:1_{1DB0F0D3-C262-437B-A7CB-359638C721AF}" xr6:coauthVersionLast="47" xr6:coauthVersionMax="47" xr10:uidLastSave="{00000000-0000-0000-0000-000000000000}"/>
  <bookViews>
    <workbookView xWindow="31185" yWindow="1935" windowWidth="22890" windowHeight="12615" firstSheet="1" activeTab="1" xr2:uid="{00000000-000D-0000-FFFF-FFFF00000000}"/>
  </bookViews>
  <sheets>
    <sheet name="hidden" sheetId="2" state="veryHidden" r:id="rId1"/>
    <sheet name="Anúnc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15" i="3" l="1"/>
  <c r="X1014" i="3"/>
  <c r="X1013" i="3"/>
  <c r="X999" i="3"/>
  <c r="X985" i="3"/>
  <c r="X971" i="3"/>
  <c r="X957" i="3"/>
  <c r="X943" i="3"/>
  <c r="X929" i="3"/>
  <c r="X915" i="3"/>
  <c r="X901" i="3"/>
  <c r="X887" i="3"/>
  <c r="X873" i="3"/>
  <c r="X859" i="3"/>
  <c r="X845" i="3"/>
  <c r="X831" i="3"/>
  <c r="X817" i="3"/>
  <c r="X803" i="3"/>
  <c r="X789" i="3"/>
  <c r="X775" i="3"/>
  <c r="X761" i="3"/>
  <c r="X747" i="3"/>
  <c r="X733" i="3"/>
  <c r="X719" i="3"/>
  <c r="X705" i="3"/>
  <c r="X691" i="3"/>
  <c r="X677" i="3"/>
  <c r="X663" i="3"/>
  <c r="X649" i="3"/>
  <c r="X635" i="3"/>
  <c r="X621" i="3"/>
  <c r="X607" i="3"/>
  <c r="X593" i="3"/>
  <c r="X579" i="3"/>
  <c r="X565" i="3"/>
  <c r="X551" i="3"/>
  <c r="X537" i="3"/>
  <c r="X523" i="3"/>
  <c r="X509" i="3"/>
  <c r="X495" i="3"/>
  <c r="X481" i="3"/>
  <c r="X467" i="3"/>
  <c r="X453" i="3"/>
  <c r="X439" i="3"/>
  <c r="X425" i="3"/>
  <c r="X411" i="3"/>
  <c r="X397" i="3"/>
  <c r="X383" i="3"/>
  <c r="X369" i="3"/>
  <c r="X355" i="3"/>
  <c r="X341" i="3"/>
  <c r="X327" i="3"/>
  <c r="X313" i="3"/>
  <c r="X299" i="3"/>
  <c r="X285" i="3"/>
  <c r="X271" i="3"/>
  <c r="X257" i="3"/>
  <c r="X243" i="3"/>
  <c r="X229" i="3"/>
  <c r="X215" i="3"/>
  <c r="X201" i="3"/>
  <c r="X187" i="3"/>
  <c r="X173" i="3"/>
  <c r="X159" i="3"/>
  <c r="X145" i="3"/>
  <c r="X1012" i="3"/>
  <c r="X1011" i="3"/>
  <c r="X997" i="3"/>
  <c r="X983" i="3"/>
  <c r="X969" i="3"/>
  <c r="X955" i="3"/>
  <c r="X941" i="3"/>
  <c r="X927" i="3"/>
  <c r="X913" i="3"/>
  <c r="X899" i="3"/>
  <c r="X885" i="3"/>
  <c r="X871" i="3"/>
  <c r="X857" i="3"/>
  <c r="X843" i="3"/>
  <c r="X829" i="3"/>
  <c r="X815" i="3"/>
  <c r="X801" i="3"/>
  <c r="X787" i="3"/>
  <c r="X773" i="3"/>
  <c r="X759" i="3"/>
  <c r="X745" i="3"/>
  <c r="X731" i="3"/>
  <c r="X717" i="3"/>
  <c r="X703" i="3"/>
  <c r="X689" i="3"/>
  <c r="X675" i="3"/>
  <c r="X661" i="3"/>
  <c r="X647" i="3"/>
  <c r="X633" i="3"/>
  <c r="X619" i="3"/>
  <c r="X605" i="3"/>
  <c r="X591" i="3"/>
  <c r="X577" i="3"/>
  <c r="X563" i="3"/>
  <c r="X549" i="3"/>
  <c r="X535" i="3"/>
  <c r="X521" i="3"/>
  <c r="X507" i="3"/>
  <c r="X493" i="3"/>
  <c r="X479" i="3"/>
  <c r="X465" i="3"/>
  <c r="X451" i="3"/>
  <c r="X437" i="3"/>
  <c r="X423" i="3"/>
  <c r="X409" i="3"/>
  <c r="X395" i="3"/>
  <c r="X381" i="3"/>
  <c r="X367" i="3"/>
  <c r="X353" i="3"/>
  <c r="X339" i="3"/>
  <c r="X325" i="3"/>
  <c r="X311" i="3"/>
  <c r="X297" i="3"/>
  <c r="X283" i="3"/>
  <c r="X269" i="3"/>
  <c r="X255" i="3"/>
  <c r="X241" i="3"/>
  <c r="X227" i="3"/>
  <c r="X213" i="3"/>
  <c r="X199" i="3"/>
  <c r="X185" i="3"/>
  <c r="X171" i="3"/>
  <c r="X157" i="3"/>
  <c r="X143" i="3"/>
  <c r="X129" i="3"/>
  <c r="X115" i="3"/>
  <c r="X101" i="3"/>
  <c r="X87" i="3"/>
  <c r="X73" i="3"/>
  <c r="X59" i="3"/>
  <c r="X45" i="3"/>
  <c r="X31" i="3"/>
  <c r="X17" i="3"/>
  <c r="X1010" i="3"/>
  <c r="X996" i="3"/>
  <c r="X982" i="3"/>
  <c r="X968" i="3"/>
  <c r="X954" i="3"/>
  <c r="X940" i="3"/>
  <c r="X926" i="3"/>
  <c r="X912" i="3"/>
  <c r="X898" i="3"/>
  <c r="X884" i="3"/>
  <c r="X870" i="3"/>
  <c r="X856" i="3"/>
  <c r="X842" i="3"/>
  <c r="X828" i="3"/>
  <c r="X814" i="3"/>
  <c r="X800" i="3"/>
  <c r="X786" i="3"/>
  <c r="X772" i="3"/>
  <c r="X758" i="3"/>
  <c r="X744" i="3"/>
  <c r="X730" i="3"/>
  <c r="X716" i="3"/>
  <c r="X702" i="3"/>
  <c r="X688" i="3"/>
  <c r="X674" i="3"/>
  <c r="X660" i="3"/>
  <c r="X646" i="3"/>
  <c r="X632" i="3"/>
  <c r="X618" i="3"/>
  <c r="X604" i="3"/>
  <c r="X590" i="3"/>
  <c r="X576" i="3"/>
  <c r="X562" i="3"/>
  <c r="X548" i="3"/>
  <c r="X534" i="3"/>
  <c r="X520" i="3"/>
  <c r="X506" i="3"/>
  <c r="X492" i="3"/>
  <c r="X478" i="3"/>
  <c r="X464" i="3"/>
  <c r="X450" i="3"/>
  <c r="X436" i="3"/>
  <c r="X422" i="3"/>
  <c r="X408" i="3"/>
  <c r="X394" i="3"/>
  <c r="X380" i="3"/>
  <c r="X366" i="3"/>
  <c r="X352" i="3"/>
  <c r="X338" i="3"/>
  <c r="X324" i="3"/>
  <c r="X310" i="3"/>
  <c r="X296" i="3"/>
  <c r="X282" i="3"/>
  <c r="X268" i="3"/>
  <c r="X254" i="3"/>
  <c r="X1009" i="3"/>
  <c r="X1006" i="3"/>
  <c r="X1005" i="3"/>
  <c r="X1004" i="3"/>
  <c r="X1003" i="3"/>
  <c r="X989" i="3"/>
  <c r="X975" i="3"/>
  <c r="X961" i="3"/>
  <c r="X947" i="3"/>
  <c r="X933" i="3"/>
  <c r="X919" i="3"/>
  <c r="X905" i="3"/>
  <c r="X891" i="3"/>
  <c r="X877" i="3"/>
  <c r="X863" i="3"/>
  <c r="X849" i="3"/>
  <c r="X835" i="3"/>
  <c r="X821" i="3"/>
  <c r="X807" i="3"/>
  <c r="X793" i="3"/>
  <c r="X779" i="3"/>
  <c r="X765" i="3"/>
  <c r="X751" i="3"/>
  <c r="X737" i="3"/>
  <c r="X723" i="3"/>
  <c r="X709" i="3"/>
  <c r="X695" i="3"/>
  <c r="X681" i="3"/>
  <c r="X667" i="3"/>
  <c r="X653" i="3"/>
  <c r="X639" i="3"/>
  <c r="X625" i="3"/>
  <c r="X611" i="3"/>
  <c r="X597" i="3"/>
  <c r="X583" i="3"/>
  <c r="X569" i="3"/>
  <c r="X555" i="3"/>
  <c r="X541" i="3"/>
  <c r="X527" i="3"/>
  <c r="X513" i="3"/>
  <c r="X499" i="3"/>
  <c r="X485" i="3"/>
  <c r="X471" i="3"/>
  <c r="X457" i="3"/>
  <c r="X443" i="3"/>
  <c r="X429" i="3"/>
  <c r="X415" i="3"/>
  <c r="X401" i="3"/>
  <c r="X387" i="3"/>
  <c r="X373" i="3"/>
  <c r="X359" i="3"/>
  <c r="X345" i="3"/>
  <c r="X331" i="3"/>
  <c r="X317" i="3"/>
  <c r="X303" i="3"/>
  <c r="X289" i="3"/>
  <c r="X275" i="3"/>
  <c r="X261" i="3"/>
  <c r="X247" i="3"/>
  <c r="X233" i="3"/>
  <c r="X219" i="3"/>
  <c r="X205" i="3"/>
  <c r="X191" i="3"/>
  <c r="X177" i="3"/>
  <c r="X163" i="3"/>
  <c r="X149" i="3"/>
  <c r="X135" i="3"/>
  <c r="X121" i="3"/>
  <c r="X107" i="3"/>
  <c r="X93" i="3"/>
  <c r="X79" i="3"/>
  <c r="X65" i="3"/>
  <c r="X51" i="3"/>
  <c r="X37" i="3"/>
  <c r="X23" i="3"/>
  <c r="X9" i="3"/>
  <c r="X1002" i="3"/>
  <c r="X1008" i="3"/>
  <c r="X984" i="3"/>
  <c r="X964" i="3"/>
  <c r="X945" i="3"/>
  <c r="X924" i="3"/>
  <c r="X906" i="3"/>
  <c r="X886" i="3"/>
  <c r="X866" i="3"/>
  <c r="X847" i="3"/>
  <c r="X826" i="3"/>
  <c r="X808" i="3"/>
  <c r="X788" i="3"/>
  <c r="X768" i="3"/>
  <c r="X749" i="3"/>
  <c r="X728" i="3"/>
  <c r="X710" i="3"/>
  <c r="X690" i="3"/>
  <c r="X670" i="3"/>
  <c r="X651" i="3"/>
  <c r="X630" i="3"/>
  <c r="X612" i="3"/>
  <c r="X592" i="3"/>
  <c r="X572" i="3"/>
  <c r="X553" i="3"/>
  <c r="X532" i="3"/>
  <c r="X514" i="3"/>
  <c r="X494" i="3"/>
  <c r="X474" i="3"/>
  <c r="X455" i="3"/>
  <c r="X434" i="3"/>
  <c r="X416" i="3"/>
  <c r="X396" i="3"/>
  <c r="X376" i="3"/>
  <c r="X357" i="3"/>
  <c r="X336" i="3"/>
  <c r="X318" i="3"/>
  <c r="X298" i="3"/>
  <c r="X278" i="3"/>
  <c r="X259" i="3"/>
  <c r="X239" i="3"/>
  <c r="X222" i="3"/>
  <c r="X204" i="3"/>
  <c r="X186" i="3"/>
  <c r="X168" i="3"/>
  <c r="X151" i="3"/>
  <c r="X133" i="3"/>
  <c r="X117" i="3"/>
  <c r="X100" i="3"/>
  <c r="X84" i="3"/>
  <c r="X68" i="3"/>
  <c r="X52" i="3"/>
  <c r="X35" i="3"/>
  <c r="X19" i="3"/>
  <c r="X356" i="3"/>
  <c r="X295" i="3"/>
  <c r="X258" i="3"/>
  <c r="X238" i="3"/>
  <c r="X203" i="3"/>
  <c r="X184" i="3"/>
  <c r="X167" i="3"/>
  <c r="X150" i="3"/>
  <c r="X132" i="3"/>
  <c r="X99" i="3"/>
  <c r="X83" i="3"/>
  <c r="X50" i="3"/>
  <c r="X18" i="3"/>
  <c r="X1001" i="3"/>
  <c r="X962" i="3"/>
  <c r="X942" i="3"/>
  <c r="X922" i="3"/>
  <c r="X903" i="3"/>
  <c r="X882" i="3"/>
  <c r="X864" i="3"/>
  <c r="X844" i="3"/>
  <c r="X824" i="3"/>
  <c r="X805" i="3"/>
  <c r="X784" i="3"/>
  <c r="X766" i="3"/>
  <c r="X746" i="3"/>
  <c r="X707" i="3"/>
  <c r="X686" i="3"/>
  <c r="X668" i="3"/>
  <c r="X648" i="3"/>
  <c r="X628" i="3"/>
  <c r="X588" i="3"/>
  <c r="X570" i="3"/>
  <c r="X550" i="3"/>
  <c r="X530" i="3"/>
  <c r="X490" i="3"/>
  <c r="X472" i="3"/>
  <c r="X432" i="3"/>
  <c r="X392" i="3"/>
  <c r="X374" i="3"/>
  <c r="X334" i="3"/>
  <c r="X315" i="3"/>
  <c r="X276" i="3"/>
  <c r="X237" i="3"/>
  <c r="X220" i="3"/>
  <c r="X202" i="3"/>
  <c r="X166" i="3"/>
  <c r="X148" i="3"/>
  <c r="X131" i="3"/>
  <c r="X98" i="3"/>
  <c r="X82" i="3"/>
  <c r="X49" i="3"/>
  <c r="X16" i="3"/>
  <c r="X96" i="3"/>
  <c r="X47" i="3"/>
  <c r="X977" i="3"/>
  <c r="X860" i="3"/>
  <c r="X799" i="3"/>
  <c r="X762" i="3"/>
  <c r="X701" i="3"/>
  <c r="X664" i="3"/>
  <c r="X624" i="3"/>
  <c r="X585" i="3"/>
  <c r="X545" i="3"/>
  <c r="X505" i="3"/>
  <c r="X468" i="3"/>
  <c r="X428" i="3"/>
  <c r="X407" i="3"/>
  <c r="X370" i="3"/>
  <c r="X330" i="3"/>
  <c r="X291" i="3"/>
  <c r="X234" i="3"/>
  <c r="X180" i="3"/>
  <c r="X127" i="3"/>
  <c r="X1007" i="3"/>
  <c r="X981" i="3"/>
  <c r="X963" i="3"/>
  <c r="X944" i="3"/>
  <c r="X923" i="3"/>
  <c r="X904" i="3"/>
  <c r="X883" i="3"/>
  <c r="X865" i="3"/>
  <c r="X846" i="3"/>
  <c r="X825" i="3"/>
  <c r="X806" i="3"/>
  <c r="X785" i="3"/>
  <c r="X767" i="3"/>
  <c r="X748" i="3"/>
  <c r="X727" i="3"/>
  <c r="X708" i="3"/>
  <c r="X687" i="3"/>
  <c r="X669" i="3"/>
  <c r="X650" i="3"/>
  <c r="X629" i="3"/>
  <c r="X610" i="3"/>
  <c r="X589" i="3"/>
  <c r="X571" i="3"/>
  <c r="X552" i="3"/>
  <c r="X531" i="3"/>
  <c r="X512" i="3"/>
  <c r="X491" i="3"/>
  <c r="X473" i="3"/>
  <c r="X454" i="3"/>
  <c r="X433" i="3"/>
  <c r="X414" i="3"/>
  <c r="X393" i="3"/>
  <c r="X375" i="3"/>
  <c r="X335" i="3"/>
  <c r="X316" i="3"/>
  <c r="X277" i="3"/>
  <c r="X221" i="3"/>
  <c r="X116" i="3"/>
  <c r="X67" i="3"/>
  <c r="X34" i="3"/>
  <c r="X980" i="3"/>
  <c r="X726" i="3"/>
  <c r="X609" i="3"/>
  <c r="X511" i="3"/>
  <c r="X452" i="3"/>
  <c r="X413" i="3"/>
  <c r="X354" i="3"/>
  <c r="X294" i="3"/>
  <c r="X256" i="3"/>
  <c r="X183" i="3"/>
  <c r="X114" i="3"/>
  <c r="X66" i="3"/>
  <c r="X33" i="3"/>
  <c r="X63" i="3"/>
  <c r="X14" i="3"/>
  <c r="X958" i="3"/>
  <c r="X526" i="3"/>
  <c r="X389" i="3"/>
  <c r="X272" i="3"/>
  <c r="X197" i="3"/>
  <c r="X1000" i="3"/>
  <c r="X979" i="3"/>
  <c r="X960" i="3"/>
  <c r="X939" i="3"/>
  <c r="X921" i="3"/>
  <c r="X902" i="3"/>
  <c r="X881" i="3"/>
  <c r="X862" i="3"/>
  <c r="X841" i="3"/>
  <c r="X823" i="3"/>
  <c r="X804" i="3"/>
  <c r="X783" i="3"/>
  <c r="X764" i="3"/>
  <c r="X743" i="3"/>
  <c r="X725" i="3"/>
  <c r="X706" i="3"/>
  <c r="X685" i="3"/>
  <c r="X666" i="3"/>
  <c r="X645" i="3"/>
  <c r="X627" i="3"/>
  <c r="X608" i="3"/>
  <c r="X587" i="3"/>
  <c r="X568" i="3"/>
  <c r="X547" i="3"/>
  <c r="X529" i="3"/>
  <c r="X510" i="3"/>
  <c r="X489" i="3"/>
  <c r="X470" i="3"/>
  <c r="X449" i="3"/>
  <c r="X431" i="3"/>
  <c r="X412" i="3"/>
  <c r="X391" i="3"/>
  <c r="X372" i="3"/>
  <c r="X351" i="3"/>
  <c r="X333" i="3"/>
  <c r="X314" i="3"/>
  <c r="X293" i="3"/>
  <c r="X274" i="3"/>
  <c r="X253" i="3"/>
  <c r="X236" i="3"/>
  <c r="X218" i="3"/>
  <c r="X200" i="3"/>
  <c r="X182" i="3"/>
  <c r="X165" i="3"/>
  <c r="X147" i="3"/>
  <c r="X130" i="3"/>
  <c r="X113" i="3"/>
  <c r="X97" i="3"/>
  <c r="X81" i="3"/>
  <c r="X64" i="3"/>
  <c r="X48" i="3"/>
  <c r="X32" i="3"/>
  <c r="X15" i="3"/>
  <c r="X998" i="3"/>
  <c r="X978" i="3"/>
  <c r="X959" i="3"/>
  <c r="X938" i="3"/>
  <c r="X920" i="3"/>
  <c r="X900" i="3"/>
  <c r="X880" i="3"/>
  <c r="X861" i="3"/>
  <c r="X840" i="3"/>
  <c r="X822" i="3"/>
  <c r="X802" i="3"/>
  <c r="X782" i="3"/>
  <c r="X763" i="3"/>
  <c r="X742" i="3"/>
  <c r="X724" i="3"/>
  <c r="X704" i="3"/>
  <c r="X684" i="3"/>
  <c r="X665" i="3"/>
  <c r="X644" i="3"/>
  <c r="X626" i="3"/>
  <c r="X606" i="3"/>
  <c r="X586" i="3"/>
  <c r="X567" i="3"/>
  <c r="X546" i="3"/>
  <c r="X528" i="3"/>
  <c r="X508" i="3"/>
  <c r="X488" i="3"/>
  <c r="X469" i="3"/>
  <c r="X448" i="3"/>
  <c r="X430" i="3"/>
  <c r="X410" i="3"/>
  <c r="X390" i="3"/>
  <c r="X371" i="3"/>
  <c r="X350" i="3"/>
  <c r="X332" i="3"/>
  <c r="X312" i="3"/>
  <c r="X292" i="3"/>
  <c r="X273" i="3"/>
  <c r="X252" i="3"/>
  <c r="X235" i="3"/>
  <c r="X217" i="3"/>
  <c r="X198" i="3"/>
  <c r="X181" i="3"/>
  <c r="X164" i="3"/>
  <c r="X146" i="3"/>
  <c r="X128" i="3"/>
  <c r="X112" i="3"/>
  <c r="X80" i="3"/>
  <c r="X30" i="3"/>
  <c r="X995" i="3"/>
  <c r="X937" i="3"/>
  <c r="X918" i="3"/>
  <c r="X897" i="3"/>
  <c r="X879" i="3"/>
  <c r="X839" i="3"/>
  <c r="X820" i="3"/>
  <c r="X781" i="3"/>
  <c r="X741" i="3"/>
  <c r="X722" i="3"/>
  <c r="X683" i="3"/>
  <c r="X643" i="3"/>
  <c r="X603" i="3"/>
  <c r="X566" i="3"/>
  <c r="X487" i="3"/>
  <c r="X447" i="3"/>
  <c r="X349" i="3"/>
  <c r="X309" i="3"/>
  <c r="X251" i="3"/>
  <c r="X216" i="3"/>
  <c r="X162" i="3"/>
  <c r="X144" i="3"/>
  <c r="X111" i="3"/>
  <c r="X991" i="3"/>
  <c r="X972" i="3"/>
  <c r="X951" i="3"/>
  <c r="X932" i="3"/>
  <c r="X911" i="3"/>
  <c r="X893" i="3"/>
  <c r="X874" i="3"/>
  <c r="X853" i="3"/>
  <c r="X834" i="3"/>
  <c r="X813" i="3"/>
  <c r="X795" i="3"/>
  <c r="X776" i="3"/>
  <c r="X755" i="3"/>
  <c r="X736" i="3"/>
  <c r="X715" i="3"/>
  <c r="X697" i="3"/>
  <c r="X678" i="3"/>
  <c r="X657" i="3"/>
  <c r="X638" i="3"/>
  <c r="X617" i="3"/>
  <c r="X599" i="3"/>
  <c r="X580" i="3"/>
  <c r="X559" i="3"/>
  <c r="X540" i="3"/>
  <c r="X519" i="3"/>
  <c r="X501" i="3"/>
  <c r="X482" i="3"/>
  <c r="X461" i="3"/>
  <c r="X442" i="3"/>
  <c r="X421" i="3"/>
  <c r="X403" i="3"/>
  <c r="X384" i="3"/>
  <c r="X363" i="3"/>
  <c r="X344" i="3"/>
  <c r="X323" i="3"/>
  <c r="X305" i="3"/>
  <c r="X286" i="3"/>
  <c r="X265" i="3"/>
  <c r="X246" i="3"/>
  <c r="X228" i="3"/>
  <c r="X210" i="3"/>
  <c r="X193" i="3"/>
  <c r="X175" i="3"/>
  <c r="X156" i="3"/>
  <c r="X139" i="3"/>
  <c r="X123" i="3"/>
  <c r="X106" i="3"/>
  <c r="X90" i="3"/>
  <c r="X74" i="3"/>
  <c r="X57" i="3"/>
  <c r="X41" i="3"/>
  <c r="X25" i="3"/>
  <c r="X8" i="3"/>
  <c r="X990" i="3"/>
  <c r="X970" i="3"/>
  <c r="X950" i="3"/>
  <c r="X931" i="3"/>
  <c r="X910" i="3"/>
  <c r="X892" i="3"/>
  <c r="X872" i="3"/>
  <c r="X852" i="3"/>
  <c r="X833" i="3"/>
  <c r="X812" i="3"/>
  <c r="X794" i="3"/>
  <c r="X774" i="3"/>
  <c r="X754" i="3"/>
  <c r="X735" i="3"/>
  <c r="X714" i="3"/>
  <c r="X696" i="3"/>
  <c r="X676" i="3"/>
  <c r="X656" i="3"/>
  <c r="X637" i="3"/>
  <c r="X616" i="3"/>
  <c r="X598" i="3"/>
  <c r="X578" i="3"/>
  <c r="X558" i="3"/>
  <c r="X539" i="3"/>
  <c r="X518" i="3"/>
  <c r="X500" i="3"/>
  <c r="X480" i="3"/>
  <c r="X460" i="3"/>
  <c r="X441" i="3"/>
  <c r="X420" i="3"/>
  <c r="X402" i="3"/>
  <c r="X382" i="3"/>
  <c r="X362" i="3"/>
  <c r="X343" i="3"/>
  <c r="X322" i="3"/>
  <c r="X994" i="3"/>
  <c r="X952" i="3"/>
  <c r="X908" i="3"/>
  <c r="X858" i="3"/>
  <c r="X816" i="3"/>
  <c r="X770" i="3"/>
  <c r="X721" i="3"/>
  <c r="X679" i="3"/>
  <c r="X634" i="3"/>
  <c r="X584" i="3"/>
  <c r="X542" i="3"/>
  <c r="X497" i="3"/>
  <c r="X446" i="3"/>
  <c r="X404" i="3"/>
  <c r="X360" i="3"/>
  <c r="X308" i="3"/>
  <c r="X270" i="3"/>
  <c r="X232" i="3"/>
  <c r="X196" i="3"/>
  <c r="X161" i="3"/>
  <c r="X126" i="3"/>
  <c r="X95" i="3"/>
  <c r="X70" i="3"/>
  <c r="X40" i="3"/>
  <c r="X11" i="3"/>
  <c r="X631" i="3"/>
  <c r="X538" i="3"/>
  <c r="X496" i="3"/>
  <c r="X445" i="3"/>
  <c r="X400" i="3"/>
  <c r="X358" i="3"/>
  <c r="X267" i="3"/>
  <c r="X231" i="3"/>
  <c r="X195" i="3"/>
  <c r="X160" i="3"/>
  <c r="X125" i="3"/>
  <c r="X94" i="3"/>
  <c r="X69" i="3"/>
  <c r="X39" i="3"/>
  <c r="X10" i="3"/>
  <c r="X992" i="3"/>
  <c r="X948" i="3"/>
  <c r="X896" i="3"/>
  <c r="X854" i="3"/>
  <c r="X810" i="3"/>
  <c r="X760" i="3"/>
  <c r="X718" i="3"/>
  <c r="X672" i="3"/>
  <c r="X623" i="3"/>
  <c r="X581" i="3"/>
  <c r="X486" i="3"/>
  <c r="X444" i="3"/>
  <c r="X348" i="3"/>
  <c r="X266" i="3"/>
  <c r="X194" i="3"/>
  <c r="X124" i="3"/>
  <c r="X62" i="3"/>
  <c r="X7" i="3"/>
  <c r="X936" i="3"/>
  <c r="X850" i="3"/>
  <c r="X798" i="3"/>
  <c r="X756" i="3"/>
  <c r="X712" i="3"/>
  <c r="X662" i="3"/>
  <c r="X620" i="3"/>
  <c r="X574" i="3"/>
  <c r="X483" i="3"/>
  <c r="X438" i="3"/>
  <c r="X388" i="3"/>
  <c r="X346" i="3"/>
  <c r="X263" i="3"/>
  <c r="X190" i="3"/>
  <c r="X154" i="3"/>
  <c r="X120" i="3"/>
  <c r="X89" i="3"/>
  <c r="X60" i="3"/>
  <c r="X986" i="3"/>
  <c r="X848" i="3"/>
  <c r="X797" i="3"/>
  <c r="X753" i="3"/>
  <c r="X711" i="3"/>
  <c r="X659" i="3"/>
  <c r="X615" i="3"/>
  <c r="X524" i="3"/>
  <c r="X435" i="3"/>
  <c r="X342" i="3"/>
  <c r="X224" i="3"/>
  <c r="X153" i="3"/>
  <c r="X58" i="3"/>
  <c r="X976" i="3"/>
  <c r="X752" i="3"/>
  <c r="X658" i="3"/>
  <c r="X522" i="3"/>
  <c r="X427" i="3"/>
  <c r="X300" i="3"/>
  <c r="X188" i="3"/>
  <c r="X152" i="3"/>
  <c r="X56" i="3"/>
  <c r="X27" i="3"/>
  <c r="X974" i="3"/>
  <c r="X750" i="3"/>
  <c r="X613" i="3"/>
  <c r="X517" i="3"/>
  <c r="X379" i="3"/>
  <c r="X250" i="3"/>
  <c r="X179" i="3"/>
  <c r="X110" i="3"/>
  <c r="X85" i="3"/>
  <c r="X26" i="3"/>
  <c r="X928" i="3"/>
  <c r="X791" i="3"/>
  <c r="X698" i="3"/>
  <c r="X654" i="3"/>
  <c r="X560" i="3"/>
  <c r="X516" i="3"/>
  <c r="X424" i="3"/>
  <c r="X329" i="3"/>
  <c r="X249" i="3"/>
  <c r="X212" i="3"/>
  <c r="X141" i="3"/>
  <c r="X78" i="3"/>
  <c r="X24" i="3"/>
  <c r="X364" i="3"/>
  <c r="X242" i="3"/>
  <c r="X136" i="3"/>
  <c r="X72" i="3"/>
  <c r="X43" i="3"/>
  <c r="X953" i="3"/>
  <c r="X818" i="3"/>
  <c r="X771" i="3"/>
  <c r="X680" i="3"/>
  <c r="X636" i="3"/>
  <c r="X543" i="3"/>
  <c r="X498" i="3"/>
  <c r="X361" i="3"/>
  <c r="X240" i="3"/>
  <c r="X102" i="3"/>
  <c r="X42" i="3"/>
  <c r="X993" i="3"/>
  <c r="X949" i="3"/>
  <c r="X907" i="3"/>
  <c r="X855" i="3"/>
  <c r="X811" i="3"/>
  <c r="X769" i="3"/>
  <c r="X720" i="3"/>
  <c r="X673" i="3"/>
  <c r="X582" i="3"/>
  <c r="X307" i="3"/>
  <c r="X536" i="3"/>
  <c r="X399" i="3"/>
  <c r="X306" i="3"/>
  <c r="X230" i="3"/>
  <c r="X158" i="3"/>
  <c r="X92" i="3"/>
  <c r="X38" i="3"/>
  <c r="X894" i="3"/>
  <c r="X525" i="3"/>
  <c r="X225" i="3"/>
  <c r="X29" i="3"/>
  <c r="X890" i="3"/>
  <c r="X477" i="3"/>
  <c r="X262" i="3"/>
  <c r="X88" i="3"/>
  <c r="X889" i="3"/>
  <c r="X796" i="3"/>
  <c r="X614" i="3"/>
  <c r="X385" i="3"/>
  <c r="X223" i="3"/>
  <c r="X86" i="3"/>
  <c r="X888" i="3"/>
  <c r="X837" i="3"/>
  <c r="X699" i="3"/>
  <c r="X561" i="3"/>
  <c r="X426" i="3"/>
  <c r="X290" i="3"/>
  <c r="X142" i="3"/>
  <c r="X878" i="3"/>
  <c r="X988" i="3"/>
  <c r="X946" i="3"/>
  <c r="X895" i="3"/>
  <c r="X851" i="3"/>
  <c r="X809" i="3"/>
  <c r="X757" i="3"/>
  <c r="X713" i="3"/>
  <c r="X671" i="3"/>
  <c r="X622" i="3"/>
  <c r="X575" i="3"/>
  <c r="X533" i="3"/>
  <c r="X484" i="3"/>
  <c r="X440" i="3"/>
  <c r="X398" i="3"/>
  <c r="X347" i="3"/>
  <c r="X304" i="3"/>
  <c r="X264" i="3"/>
  <c r="X226" i="3"/>
  <c r="X192" i="3"/>
  <c r="X155" i="3"/>
  <c r="X122" i="3"/>
  <c r="X91" i="3"/>
  <c r="X61" i="3"/>
  <c r="X36" i="3"/>
  <c r="X6" i="3"/>
  <c r="X987" i="3"/>
  <c r="X302" i="3"/>
  <c r="X935" i="3"/>
  <c r="X573" i="3"/>
  <c r="X386" i="3"/>
  <c r="X301" i="3"/>
  <c r="X189" i="3"/>
  <c r="X119" i="3"/>
  <c r="X28" i="3"/>
  <c r="X934" i="3"/>
  <c r="X838" i="3"/>
  <c r="X700" i="3"/>
  <c r="X564" i="3"/>
  <c r="X476" i="3"/>
  <c r="X340" i="3"/>
  <c r="X260" i="3"/>
  <c r="X118" i="3"/>
  <c r="X930" i="3"/>
  <c r="X792" i="3"/>
  <c r="X655" i="3"/>
  <c r="X475" i="3"/>
  <c r="X337" i="3"/>
  <c r="X214" i="3"/>
  <c r="X55" i="3"/>
  <c r="X973" i="3"/>
  <c r="X836" i="3"/>
  <c r="X740" i="3"/>
  <c r="X602" i="3"/>
  <c r="X466" i="3"/>
  <c r="X378" i="3"/>
  <c r="X288" i="3"/>
  <c r="X178" i="3"/>
  <c r="X109" i="3"/>
  <c r="X54" i="3"/>
  <c r="X458" i="3"/>
  <c r="X280" i="3"/>
  <c r="X207" i="3"/>
  <c r="X103" i="3"/>
  <c r="X13" i="3"/>
  <c r="X909" i="3"/>
  <c r="X729" i="3"/>
  <c r="X594" i="3"/>
  <c r="X456" i="3"/>
  <c r="X319" i="3"/>
  <c r="X279" i="3"/>
  <c r="X206" i="3"/>
  <c r="X134" i="3"/>
  <c r="X71" i="3"/>
  <c r="X967" i="3"/>
  <c r="X925" i="3"/>
  <c r="X876" i="3"/>
  <c r="X832" i="3"/>
  <c r="X790" i="3"/>
  <c r="X739" i="3"/>
  <c r="X694" i="3"/>
  <c r="X652" i="3"/>
  <c r="X601" i="3"/>
  <c r="X557" i="3"/>
  <c r="X515" i="3"/>
  <c r="X463" i="3"/>
  <c r="X419" i="3"/>
  <c r="X377" i="3"/>
  <c r="X328" i="3"/>
  <c r="X287" i="3"/>
  <c r="X248" i="3"/>
  <c r="X211" i="3"/>
  <c r="X176" i="3"/>
  <c r="X140" i="3"/>
  <c r="X108" i="3"/>
  <c r="X77" i="3"/>
  <c r="X53" i="3"/>
  <c r="X22" i="3"/>
  <c r="X966" i="3"/>
  <c r="X917" i="3"/>
  <c r="X875" i="3"/>
  <c r="X830" i="3"/>
  <c r="X780" i="3"/>
  <c r="X738" i="3"/>
  <c r="X693" i="3"/>
  <c r="X642" i="3"/>
  <c r="X600" i="3"/>
  <c r="X556" i="3"/>
  <c r="X504" i="3"/>
  <c r="X462" i="3"/>
  <c r="X418" i="3"/>
  <c r="X368" i="3"/>
  <c r="X326" i="3"/>
  <c r="X284" i="3"/>
  <c r="X245" i="3"/>
  <c r="X209" i="3"/>
  <c r="X174" i="3"/>
  <c r="X138" i="3"/>
  <c r="X105" i="3"/>
  <c r="X76" i="3"/>
  <c r="X46" i="3"/>
  <c r="X21" i="3"/>
  <c r="X965" i="3"/>
  <c r="X916" i="3"/>
  <c r="X869" i="3"/>
  <c r="X827" i="3"/>
  <c r="X778" i="3"/>
  <c r="X734" i="3"/>
  <c r="X692" i="3"/>
  <c r="X641" i="3"/>
  <c r="X596" i="3"/>
  <c r="X554" i="3"/>
  <c r="X503" i="3"/>
  <c r="X459" i="3"/>
  <c r="X417" i="3"/>
  <c r="X365" i="3"/>
  <c r="X321" i="3"/>
  <c r="X281" i="3"/>
  <c r="X244" i="3"/>
  <c r="X208" i="3"/>
  <c r="X172" i="3"/>
  <c r="X137" i="3"/>
  <c r="X104" i="3"/>
  <c r="X75" i="3"/>
  <c r="X44" i="3"/>
  <c r="X20" i="3"/>
  <c r="X956" i="3"/>
  <c r="X914" i="3"/>
  <c r="X868" i="3"/>
  <c r="X819" i="3"/>
  <c r="X777" i="3"/>
  <c r="X732" i="3"/>
  <c r="X682" i="3"/>
  <c r="X640" i="3"/>
  <c r="X595" i="3"/>
  <c r="X544" i="3"/>
  <c r="X502" i="3"/>
  <c r="X406" i="3"/>
  <c r="X320" i="3"/>
  <c r="X170" i="3"/>
  <c r="X867" i="3"/>
  <c r="X405" i="3"/>
  <c r="X169" i="3"/>
  <c r="X12" i="3"/>
</calcChain>
</file>

<file path=xl/sharedStrings.xml><?xml version="1.0" encoding="utf-8"?>
<sst xmlns="http://schemas.openxmlformats.org/spreadsheetml/2006/main" count="11841" uniqueCount="4131">
  <si>
    <t>d6805619-f304-47d9-b28b-43982d046698</t>
  </si>
  <si>
    <t>FAMILY_ID</t>
  </si>
  <si>
    <t/>
  </si>
  <si>
    <t>Agrupador de variações</t>
  </si>
  <si>
    <t>ITEM_ID</t>
  </si>
  <si>
    <t>Código do anúncio</t>
  </si>
  <si>
    <t>PRODUCT_NUMBER</t>
  </si>
  <si>
    <t>Número do produto</t>
  </si>
  <si>
    <t>VARIATION_ID</t>
  </si>
  <si>
    <t>Número da variação</t>
  </si>
  <si>
    <t>SKU</t>
  </si>
  <si>
    <t>TITLE</t>
  </si>
  <si>
    <t>Título</t>
  </si>
  <si>
    <t>VARIATIONS</t>
  </si>
  <si>
    <t>Variações</t>
  </si>
  <si>
    <t>Anúncios</t>
  </si>
  <si>
    <t>QUANTITY</t>
  </si>
  <si>
    <t>Obrigatório</t>
  </si>
  <si>
    <t>Estoque no depósito</t>
  </si>
  <si>
    <t>PRICE</t>
  </si>
  <si>
    <t>Preço</t>
  </si>
  <si>
    <t>CURRENCY_ID</t>
  </si>
  <si>
    <t>Moeda</t>
  </si>
  <si>
    <t>TIERED_PRICING_PRICE_1</t>
  </si>
  <si>
    <t>Preço de cada unidade</t>
  </si>
  <si>
    <t>TIERED_PRICING_QUANTITY_1</t>
  </si>
  <si>
    <t>Quantidade mínima de compra</t>
  </si>
  <si>
    <t>TIERED_PRICING_PRICE_2</t>
  </si>
  <si>
    <t>TIERED_PRICING_QUANTITY_2</t>
  </si>
  <si>
    <t>TIERED_PRICING_PRICE_3</t>
  </si>
  <si>
    <t>TIERED_PRICING_QUANTITY_3</t>
  </si>
  <si>
    <t>TIERED_PRICING_PRICE_4</t>
  </si>
  <si>
    <t>TIERED_PRICING_QUANTITY_4</t>
  </si>
  <si>
    <t>TIERED_PRICING_PRICE_5</t>
  </si>
  <si>
    <t>TIERED_PRICING_QUANTITY_5</t>
  </si>
  <si>
    <t>Preço de atacado 5 [ML]</t>
  </si>
  <si>
    <t>Preço de atacado 4 [ML]</t>
  </si>
  <si>
    <t>Preço de atacado 3 [ML]</t>
  </si>
  <si>
    <t>Preço de atacado 2 [ML]</t>
  </si>
  <si>
    <t>Preço de atacado 1 [ML]</t>
  </si>
  <si>
    <t>CONDITION</t>
  </si>
  <si>
    <t>Condição</t>
  </si>
  <si>
    <t>Informações do produto</t>
  </si>
  <si>
    <t>SHIPPING_METHOD</t>
  </si>
  <si>
    <t>Forma de entrega</t>
  </si>
  <si>
    <t>Condições de entrega</t>
  </si>
  <si>
    <t>LISTING_TYPE</t>
  </si>
  <si>
    <t>Tipo de anúncio</t>
  </si>
  <si>
    <t>FEE_PER_SALE</t>
  </si>
  <si>
    <t>Tarifa de venda</t>
  </si>
  <si>
    <t>STATUS</t>
  </si>
  <si>
    <t>Estado</t>
  </si>
  <si>
    <t>Condições do anúncio</t>
  </si>
  <si>
    <t>7954166689374033</t>
  </si>
  <si>
    <t>MLB6568969342</t>
  </si>
  <si>
    <t>U3877070795</t>
  </si>
  <si>
    <t>DPX2471634403</t>
  </si>
  <si>
    <t>Top Coat Fosco Efeito Matte Uv/led 10ml Para Unhas Dafu -</t>
  </si>
  <si>
    <t>R$</t>
  </si>
  <si>
    <t>Novo</t>
  </si>
  <si>
    <t>Mercado Envios por conta do comprador</t>
  </si>
  <si>
    <t>Clássico</t>
  </si>
  <si>
    <t>Ativo</t>
  </si>
  <si>
    <t>105430639430483</t>
  </si>
  <si>
    <t>MLB4585456791</t>
  </si>
  <si>
    <t>U3888454474</t>
  </si>
  <si>
    <t>DPX2334776357</t>
  </si>
  <si>
    <t>Top Coat Led/uv 15ml Dafu - Unha Em Gel Clear -</t>
  </si>
  <si>
    <t>718334434953170</t>
  </si>
  <si>
    <t>MLB6571867244</t>
  </si>
  <si>
    <t>U3877405155</t>
  </si>
  <si>
    <t>DPX5658579611</t>
  </si>
  <si>
    <t>Real Love Gel Hard (nude 15) 15g Gel De Modelagem Uv &amp; Led</t>
  </si>
  <si>
    <t>8363179551795920</t>
  </si>
  <si>
    <t>MLB4601648977</t>
  </si>
  <si>
    <t>U3877528667</t>
  </si>
  <si>
    <t>DPX1114817089</t>
  </si>
  <si>
    <t>Blush Compacto Dropstok Kit Com 3 Tons Para Os Tipos De Pele</t>
  </si>
  <si>
    <t>-</t>
  </si>
  <si>
    <t>3529161001770386</t>
  </si>
  <si>
    <t>MLB4601722023</t>
  </si>
  <si>
    <t>U3877590373</t>
  </si>
  <si>
    <t>DPX4554452195</t>
  </si>
  <si>
    <t>Gel Construtor De Unhas Hard 4 Nude Real Love 15ml Secagem Rápida</t>
  </si>
  <si>
    <t>Premium</t>
  </si>
  <si>
    <t>4645460854923091</t>
  </si>
  <si>
    <t>MLB6569182902</t>
  </si>
  <si>
    <t>U3877181365</t>
  </si>
  <si>
    <t>DPX6567562896</t>
  </si>
  <si>
    <t>Super Base Em Gel Intenso Linha Pro 10ml -</t>
  </si>
  <si>
    <t>Dourado</t>
  </si>
  <si>
    <t>2397809334987152</t>
  </si>
  <si>
    <t>MLB6647680152</t>
  </si>
  <si>
    <t>U3907139527</t>
  </si>
  <si>
    <t>DPX4287305781</t>
  </si>
  <si>
    <t>Esmalte Em Gel Dafu 10ml Cor:m043 -</t>
  </si>
  <si>
    <t>8049168941953231</t>
  </si>
  <si>
    <t>MLB4584620991</t>
  </si>
  <si>
    <t>U3877161193</t>
  </si>
  <si>
    <t>DPX4245888818</t>
  </si>
  <si>
    <t>Dafu Kit 4 Esmalte Em Gel Tons De Rosa 10ml Uv Led</t>
  </si>
  <si>
    <t>Não faço envios</t>
  </si>
  <si>
    <t>2148171689393489</t>
  </si>
  <si>
    <t>MLB4585232307</t>
  </si>
  <si>
    <t>U3888355660</t>
  </si>
  <si>
    <t>DPX7991895259</t>
  </si>
  <si>
    <t>Dafu Kit Decoração Unhas Luxo Laço, Coração E Flor Nail Art</t>
  </si>
  <si>
    <t>6987433384564815</t>
  </si>
  <si>
    <t>MLB4585331753</t>
  </si>
  <si>
    <t>U3877526781</t>
  </si>
  <si>
    <t>DPX2197437221VAR4</t>
  </si>
  <si>
    <t>Base Liquida Matte Perfect Cover Vivai 30ml - Cor: 03</t>
  </si>
  <si>
    <t>2222122675344400</t>
  </si>
  <si>
    <t>MLB6568966366</t>
  </si>
  <si>
    <t>U3887937096</t>
  </si>
  <si>
    <t>DPX4918668198</t>
  </si>
  <si>
    <t>Lixa Buffler Polidora Capivara 100/180 Profissional Dafu -</t>
  </si>
  <si>
    <t>8654077603512016</t>
  </si>
  <si>
    <t>MLB6571825574</t>
  </si>
  <si>
    <t>U3888270860</t>
  </si>
  <si>
    <t>DPX6027573691</t>
  </si>
  <si>
    <t>Gel Sólido Alongamento Unhas Molde F1 Powder Gel Real Lov</t>
  </si>
  <si>
    <t>MLB6572614036</t>
  </si>
  <si>
    <t>Real Love Gel De Alongamento Reconstrutor Hard 4 Nude 15ml</t>
  </si>
  <si>
    <t>7202432231198799</t>
  </si>
  <si>
    <t>MLB6605168848</t>
  </si>
  <si>
    <t>U3877565467</t>
  </si>
  <si>
    <t>DPX1368785816</t>
  </si>
  <si>
    <t>Cauter One 500ml Let Me Be Tratamento Capilar</t>
  </si>
  <si>
    <t>Mercado Envios grátis</t>
  </si>
  <si>
    <t>3970871753556690</t>
  </si>
  <si>
    <t>MLB4584436643</t>
  </si>
  <si>
    <t>U3876905709</t>
  </si>
  <si>
    <t>DPX7096682641VAR2</t>
  </si>
  <si>
    <t>Paleta De Sombras 11cores Coração Labranche - Cor: A</t>
  </si>
  <si>
    <t>5704826951327058</t>
  </si>
  <si>
    <t>MLB4584501611</t>
  </si>
  <si>
    <t>U3877031039</t>
  </si>
  <si>
    <t>DPX8658811430</t>
  </si>
  <si>
    <t xml:space="preserve">Mascara De Cilios 4d Preto Look At Me E Definição Pink 21 </t>
  </si>
  <si>
    <t>7278958136569232</t>
  </si>
  <si>
    <t>MLB4584557023</t>
  </si>
  <si>
    <t>U3887916126</t>
  </si>
  <si>
    <t>DPX4291570751VAR3</t>
  </si>
  <si>
    <t>Febella Batom + Lápis Labial Kit 2 Unidades Hidratante</t>
  </si>
  <si>
    <t>Fúcsia</t>
  </si>
  <si>
    <t>3167468130102033</t>
  </si>
  <si>
    <t>MLB4584599721</t>
  </si>
  <si>
    <t>U3887981850</t>
  </si>
  <si>
    <t>DPX9100094395</t>
  </si>
  <si>
    <t>Esmalte Em Gel 3 Em 1 - 10ml Dafu Cor:05 -</t>
  </si>
  <si>
    <t>1920403578778770</t>
  </si>
  <si>
    <t>MLB4584626617</t>
  </si>
  <si>
    <t>U3877158017</t>
  </si>
  <si>
    <t>DPX4883851906</t>
  </si>
  <si>
    <t>Escova De Cabelo Polvo Varias Cores Cabelo Cachos -</t>
  </si>
  <si>
    <t>1096702815448146</t>
  </si>
  <si>
    <t>MLB4585058203</t>
  </si>
  <si>
    <t>U3877384027</t>
  </si>
  <si>
    <t>DPX8106594238_VAR_ROXO</t>
  </si>
  <si>
    <t>Lip Balm Hidratante Incolor Ursinho Querido Mia  - Cor: Roxo</t>
  </si>
  <si>
    <t>5681086123152784</t>
  </si>
  <si>
    <t>MLB4585086637</t>
  </si>
  <si>
    <t>U3877400039</t>
  </si>
  <si>
    <t>DPX3626006860</t>
  </si>
  <si>
    <t>Lâmina Rosto Sobrancelha Feminina Dermaplaning Kit C/3 -</t>
  </si>
  <si>
    <t>Multicolorido</t>
  </si>
  <si>
    <t>372142376479635</t>
  </si>
  <si>
    <t>MLB4585105183</t>
  </si>
  <si>
    <t>U3877382267</t>
  </si>
  <si>
    <t>DPX4667320935</t>
  </si>
  <si>
    <t>Máscara P/ Cílios Marrom Volume Natural E Definição Perf</t>
  </si>
  <si>
    <t>1684901826821265</t>
  </si>
  <si>
    <t>MLB4585308895</t>
  </si>
  <si>
    <t>U3877530039</t>
  </si>
  <si>
    <t>DPX2197437221VAR8</t>
  </si>
  <si>
    <t>Base Liquida Matte Perfect Cover Vivai 30ml - Cor: 07</t>
  </si>
  <si>
    <t>5267931160221330</t>
  </si>
  <si>
    <t>MLB4585568289</t>
  </si>
  <si>
    <t>U3877651285</t>
  </si>
  <si>
    <t>DPX3474214656VAR7</t>
  </si>
  <si>
    <t>Sombra Para Sobrancelhas Duo Brow Perfection  - Cor: 11 E 12</t>
  </si>
  <si>
    <t>2145868700175504</t>
  </si>
  <si>
    <t>MLB4585569927</t>
  </si>
  <si>
    <t>U3877654455</t>
  </si>
  <si>
    <t>DPX7643080408</t>
  </si>
  <si>
    <t>Pó Solto Translucido Facial Sinta-se Miss Rose -</t>
  </si>
  <si>
    <t>7284573258086799</t>
  </si>
  <si>
    <t>MLB4601649095</t>
  </si>
  <si>
    <t>U3888396136</t>
  </si>
  <si>
    <t>DPX4030770001</t>
  </si>
  <si>
    <t>Blush Mágico Cristal 3 Em 1 Pele Natural Coradinha Labranch Rosa-claro</t>
  </si>
  <si>
    <t>2252575328047379</t>
  </si>
  <si>
    <t>MLB4623590415</t>
  </si>
  <si>
    <t>U3888539230</t>
  </si>
  <si>
    <t>DPX1537546387</t>
  </si>
  <si>
    <t>Shampoo Antiresiduos Mirai 1l -</t>
  </si>
  <si>
    <t>2233334827740307</t>
  </si>
  <si>
    <t>MLB6568923126</t>
  </si>
  <si>
    <t>U3877034547</t>
  </si>
  <si>
    <t>DPX6230848380VAR3</t>
  </si>
  <si>
    <t>Sombra Sobrancelha 4 Cores Com Primer Efeito Natur - Cor: 02</t>
  </si>
  <si>
    <t>7433094764328722</t>
  </si>
  <si>
    <t>MLB6568959368</t>
  </si>
  <si>
    <t>U3877055283</t>
  </si>
  <si>
    <t>DPX2281005896</t>
  </si>
  <si>
    <t>Top Coat Diamante Para Unhas Linha Pro 10 Ml - Real Love -</t>
  </si>
  <si>
    <t>Diamante</t>
  </si>
  <si>
    <t>338226968565203</t>
  </si>
  <si>
    <t>MLB6569163732</t>
  </si>
  <si>
    <t>U3877145897</t>
  </si>
  <si>
    <t>DPX1075452490</t>
  </si>
  <si>
    <t>Decoraçao Para Unha Lacinho Branco Dafu -</t>
  </si>
  <si>
    <t>1889702073908947</t>
  </si>
  <si>
    <t>MLB6569164472</t>
  </si>
  <si>
    <t>U3877152655</t>
  </si>
  <si>
    <t>DPX7563839686</t>
  </si>
  <si>
    <t>Vivai Base Liquida Matte Perfect Cover 30ml Cor 1 Matte</t>
  </si>
  <si>
    <t>5305522311059151</t>
  </si>
  <si>
    <t>MLB6569168992</t>
  </si>
  <si>
    <t>U3888032908</t>
  </si>
  <si>
    <t>DPX7362092750</t>
  </si>
  <si>
    <t>Rofer Kit Cauterização Glam Cauter 500ml Profissional</t>
  </si>
  <si>
    <t>2386943820906000</t>
  </si>
  <si>
    <t>MLB6571806170</t>
  </si>
  <si>
    <t>U3877384011</t>
  </si>
  <si>
    <t>DPX8106594238</t>
  </si>
  <si>
    <t>Lip Balm Hidratante Incolor Ursinho Querido Mia Make -</t>
  </si>
  <si>
    <t>5383860614447250</t>
  </si>
  <si>
    <t>MLB6571824466</t>
  </si>
  <si>
    <t>U3877404081</t>
  </si>
  <si>
    <t>DPX4358756851</t>
  </si>
  <si>
    <t>Sabonete Líquido Facial Derm 100ml Soul Vitamina C -</t>
  </si>
  <si>
    <t>1449484845606995</t>
  </si>
  <si>
    <t>MLB6571847120</t>
  </si>
  <si>
    <t>U3888267042</t>
  </si>
  <si>
    <t>DPX7768926713</t>
  </si>
  <si>
    <t>Sabonete Íntimo Soul Cosméticos - 200ml -</t>
  </si>
  <si>
    <t>5307975830267024</t>
  </si>
  <si>
    <t>MLB6572314116</t>
  </si>
  <si>
    <t>U3888351124</t>
  </si>
  <si>
    <t>DPX6045064649VAR6</t>
  </si>
  <si>
    <t>Pó Compacto Vegano Dalla - Cor: 06</t>
  </si>
  <si>
    <t>5131228110245327</t>
  </si>
  <si>
    <t>MLB6572543014</t>
  </si>
  <si>
    <t>U3888433162</t>
  </si>
  <si>
    <t>DPX5001737774VAR2</t>
  </si>
  <si>
    <t>Corretivo Facial Liquido Febella True Skin  - Cor: 01</t>
  </si>
  <si>
    <t>1830512090716945</t>
  </si>
  <si>
    <t>MLB6572722034</t>
  </si>
  <si>
    <t>U3888489574</t>
  </si>
  <si>
    <t>DPX8539751949</t>
  </si>
  <si>
    <t>Mousse Micelar Facial Soul Babalu Uva150ml -</t>
  </si>
  <si>
    <t>353392819341328</t>
  </si>
  <si>
    <t>MLB6572728566</t>
  </si>
  <si>
    <t>U3888490144</t>
  </si>
  <si>
    <t>DPX4925952049</t>
  </si>
  <si>
    <t>Molde F1 Bailarina Dual Form Dafu 120tips -</t>
  </si>
  <si>
    <t>79056814757650</t>
  </si>
  <si>
    <t>MLB6572754230</t>
  </si>
  <si>
    <t>U3888516706</t>
  </si>
  <si>
    <t>DPX3474214656VAR4</t>
  </si>
  <si>
    <t>Sombra Para Sobrancelhas Duo Brow Perfection  - Cor: 05 E 06</t>
  </si>
  <si>
    <t>8159183061732881</t>
  </si>
  <si>
    <t>MLB6572881464</t>
  </si>
  <si>
    <t>U3888603058</t>
  </si>
  <si>
    <t>DPX2714973763</t>
  </si>
  <si>
    <t>Pincel Para Blush Makeup Look Dafu Pc14-7 -</t>
  </si>
  <si>
    <t>3451605359573776</t>
  </si>
  <si>
    <t>MLB6649671992</t>
  </si>
  <si>
    <t>U3919248108</t>
  </si>
  <si>
    <t>DPX9055723230</t>
  </si>
  <si>
    <t>Paleta De Contorno Ludurana Quarteto 4 Cores -</t>
  </si>
  <si>
    <t>4225795536132690</t>
  </si>
  <si>
    <t>MLB6650519508</t>
  </si>
  <si>
    <t>U3919584030</t>
  </si>
  <si>
    <t>DPX1235733257</t>
  </si>
  <si>
    <t>Blindagem 3 Em 1 Febella - Primer, Diluidor E Fixador -</t>
  </si>
  <si>
    <t>8762558794085071</t>
  </si>
  <si>
    <t>MLB6650900630</t>
  </si>
  <si>
    <t>U3877645311</t>
  </si>
  <si>
    <t>DPX2924390082</t>
  </si>
  <si>
    <t>Pó Descolorante Azul Eaê! Jolie Blond 500g Ultra Rápido L</t>
  </si>
  <si>
    <t>1018286056825618</t>
  </si>
  <si>
    <t>MLB4584316663</t>
  </si>
  <si>
    <t>U3876753597</t>
  </si>
  <si>
    <t>DPX1386672729</t>
  </si>
  <si>
    <t>Como Deixar O Cabelo Preto Azulado Em Casa Máscara Preto</t>
  </si>
  <si>
    <t>6475579320690386</t>
  </si>
  <si>
    <t>MLB4584415753</t>
  </si>
  <si>
    <t>U3876870971</t>
  </si>
  <si>
    <t>DPX9830087843</t>
  </si>
  <si>
    <t>Dafu Esmalte Em Gel Cor 11 Uv Led</t>
  </si>
  <si>
    <t>Indisponível</t>
  </si>
  <si>
    <t>6280758514042447</t>
  </si>
  <si>
    <t>MLB4584424875</t>
  </si>
  <si>
    <t>U3876899657</t>
  </si>
  <si>
    <t>DPX7447762253</t>
  </si>
  <si>
    <t>Novar Mini Chapinha Cabelo Prancha Portátil De Bolsa Viagem</t>
  </si>
  <si>
    <t>2300995402433490</t>
  </si>
  <si>
    <t>MLB4584425631</t>
  </si>
  <si>
    <t>U3887770346</t>
  </si>
  <si>
    <t>DPX9256967307</t>
  </si>
  <si>
    <t>Dafu Esmalte Em Gel Cor 32 Uv Led</t>
  </si>
  <si>
    <t>3002711388844176</t>
  </si>
  <si>
    <t>MLB4584432143</t>
  </si>
  <si>
    <t>U3876892313</t>
  </si>
  <si>
    <t>DPX5664415490</t>
  </si>
  <si>
    <t>Real Love Kit 7 Esmalte Em Gel Tons De Pink Uv Led</t>
  </si>
  <si>
    <t>1933020297190099</t>
  </si>
  <si>
    <t>MLB4584437905</t>
  </si>
  <si>
    <t>U3887775496</t>
  </si>
  <si>
    <t>DPX1027602753</t>
  </si>
  <si>
    <t xml:space="preserve">Máscara De Cílios 2 Em 1 Rímel Efeito Alongamento Volume </t>
  </si>
  <si>
    <t>7349841570385298</t>
  </si>
  <si>
    <t>MLB4584439241</t>
  </si>
  <si>
    <t>U3876914891</t>
  </si>
  <si>
    <t>DPX4108664676</t>
  </si>
  <si>
    <t>Primer Não Ácido Dafu Linha Premium | Aderência Suave -</t>
  </si>
  <si>
    <t>8999422124262863</t>
  </si>
  <si>
    <t>MLB4584440387</t>
  </si>
  <si>
    <t>U3887758590</t>
  </si>
  <si>
    <t>DPX3835252589</t>
  </si>
  <si>
    <t>Shampoo Anti Residuos Maranata Hair Limpeza Profunda 1l -</t>
  </si>
  <si>
    <t>6288688524268370</t>
  </si>
  <si>
    <t>MLB4584443749</t>
  </si>
  <si>
    <t>U3876907065</t>
  </si>
  <si>
    <t>DPX7096682641</t>
  </si>
  <si>
    <t>Paleta De Sombras 11cores Coração Labranche -</t>
  </si>
  <si>
    <t>8787089143391759</t>
  </si>
  <si>
    <t>MLB4584443755</t>
  </si>
  <si>
    <t>U3876907079</t>
  </si>
  <si>
    <t>DPX7096682641VAR3</t>
  </si>
  <si>
    <t>Paleta De Sombras 11cores Coração Labranche - Cor: B</t>
  </si>
  <si>
    <t>260475632931024</t>
  </si>
  <si>
    <t>MLB4584447703</t>
  </si>
  <si>
    <t>U3876920115</t>
  </si>
  <si>
    <t>DPX6706497392</t>
  </si>
  <si>
    <t>Kit Escova Progressiva Definitiva Banho De Quiabo Maranata</t>
  </si>
  <si>
    <t>1027139911130260</t>
  </si>
  <si>
    <t>MLB4584453539</t>
  </si>
  <si>
    <t>U3876926661</t>
  </si>
  <si>
    <t>DPX2481142723</t>
  </si>
  <si>
    <t>Dafu Esmalte Em Gel Cor 14 Uv Led</t>
  </si>
  <si>
    <t>6609125290605328</t>
  </si>
  <si>
    <t>MLB4584500861</t>
  </si>
  <si>
    <t>U3877024449</t>
  </si>
  <si>
    <t>DPX6325561288</t>
  </si>
  <si>
    <t>Paleta De Sombra Morning Glory Labranche -</t>
  </si>
  <si>
    <t>7491181390414926</t>
  </si>
  <si>
    <t>MLB4584500865</t>
  </si>
  <si>
    <t>U3887891504</t>
  </si>
  <si>
    <t>DPX6325561288VAR4</t>
  </si>
  <si>
    <t>Paleta De Sombra Morning Glory Labranche - Cor: C</t>
  </si>
  <si>
    <t>4716365817852626</t>
  </si>
  <si>
    <t>MLB4584518435</t>
  </si>
  <si>
    <t>U3887891736</t>
  </si>
  <si>
    <t>DPX7437592771</t>
  </si>
  <si>
    <t>Felicity Kit 3 Máscara Tonalizante Castanho Royal 500g</t>
  </si>
  <si>
    <t>5650171679205842</t>
  </si>
  <si>
    <t>MLB4584518555</t>
  </si>
  <si>
    <t>U3877028145</t>
  </si>
  <si>
    <t>DPX3856155295</t>
  </si>
  <si>
    <t>Dafu Esmalte Em Gel 3 Em 1 10ml Cor 12 Uv Led</t>
  </si>
  <si>
    <t>7696732850585170</t>
  </si>
  <si>
    <t>MLB4584519715</t>
  </si>
  <si>
    <t>U3887895230</t>
  </si>
  <si>
    <t>DPX7274215831</t>
  </si>
  <si>
    <t>Pink 21 Lapis Delineador Colorido Olhos Colors For You</t>
  </si>
  <si>
    <t>8326052866511185</t>
  </si>
  <si>
    <t>MLB4584520305</t>
  </si>
  <si>
    <t>U3887899308</t>
  </si>
  <si>
    <t>DPX3578828091</t>
  </si>
  <si>
    <t>Eaê Cosméticos Kit Abacate Do Amor 2 Passos Nutrição Eae</t>
  </si>
  <si>
    <t>8505578479172945</t>
  </si>
  <si>
    <t>MLB4584520467</t>
  </si>
  <si>
    <t>U3877032625</t>
  </si>
  <si>
    <t>DPX6230848380</t>
  </si>
  <si>
    <t>Sombra Sobrancelha 4 Cores - Primer Efeito Natural Febella</t>
  </si>
  <si>
    <t>293313954572755</t>
  </si>
  <si>
    <t>MLB4584520481</t>
  </si>
  <si>
    <t>U3877032651</t>
  </si>
  <si>
    <t>DPX6230848380VAR2</t>
  </si>
  <si>
    <t>Sombra Sobrancelha 4 Cores Com Primer Efeito Natur - Cor: 01</t>
  </si>
  <si>
    <t>5429367923337362</t>
  </si>
  <si>
    <t>MLB4584521829</t>
  </si>
  <si>
    <t>U3877039449</t>
  </si>
  <si>
    <t>DPX6614869337</t>
  </si>
  <si>
    <t>Dafu Esmalte Em Gel Cor 62 Uv Led</t>
  </si>
  <si>
    <t>843147033207186</t>
  </si>
  <si>
    <t>MLB4584524325</t>
  </si>
  <si>
    <t>U3877045935</t>
  </si>
  <si>
    <t>DPX8962692259</t>
  </si>
  <si>
    <t>Dafu Esmalte Em Gel 3 Em 1 10ml Cor 30 Uv Led</t>
  </si>
  <si>
    <t>6243637012592145</t>
  </si>
  <si>
    <t>MLB4584524939</t>
  </si>
  <si>
    <t>U3877048243</t>
  </si>
  <si>
    <t>DPX3601575292</t>
  </si>
  <si>
    <t>Real Love Esmalte Em Gel Glitter Refletivo Uv Led</t>
  </si>
  <si>
    <t>6551920345882194</t>
  </si>
  <si>
    <t>MLB4584526227</t>
  </si>
  <si>
    <t>U3887918058</t>
  </si>
  <si>
    <t>DPX4291570751</t>
  </si>
  <si>
    <t>Batom Febella + Lápis Labial - Kit 2 Unidades -</t>
  </si>
  <si>
    <t>7503840368326802</t>
  </si>
  <si>
    <t>MLB4584527189</t>
  </si>
  <si>
    <t>U3887922028</t>
  </si>
  <si>
    <t>DPX9274404914</t>
  </si>
  <si>
    <t>Máscara De Cílios Preta Super Firme À Prova Dágua Feb</t>
  </si>
  <si>
    <t>1726860163437970</t>
  </si>
  <si>
    <t>MLB4584527691</t>
  </si>
  <si>
    <t>U3887919592</t>
  </si>
  <si>
    <t>DPX2158299586_VAR_C</t>
  </si>
  <si>
    <t>Paleta De Sombra Dupla Essential Labranche - Cor: C</t>
  </si>
  <si>
    <t>1431301235347410</t>
  </si>
  <si>
    <t>MLB4584529937</t>
  </si>
  <si>
    <t>U3877063545</t>
  </si>
  <si>
    <t>DPX7516435045</t>
  </si>
  <si>
    <t>Refil Top Coat Linha Light 10ml - Real Love -</t>
  </si>
  <si>
    <t>3820817772716499</t>
  </si>
  <si>
    <t>MLB4584557641</t>
  </si>
  <si>
    <t>U3887916984</t>
  </si>
  <si>
    <t>DPX3520199584</t>
  </si>
  <si>
    <t>Dafu Esmalte Em Gel 3 Em 1 10ml Cor 17 Uv Led</t>
  </si>
  <si>
    <t>5612402574713554</t>
  </si>
  <si>
    <t>MLB4584562873</t>
  </si>
  <si>
    <t>U3877068387</t>
  </si>
  <si>
    <t>DPX6903212101</t>
  </si>
  <si>
    <t>Miss Rose Demaquilante Stick Remove Maquigem Cleansing Balm</t>
  </si>
  <si>
    <t>7216187716877647</t>
  </si>
  <si>
    <t>MLB4584563997</t>
  </si>
  <si>
    <t>U3887935278</t>
  </si>
  <si>
    <t>DPX1952592467</t>
  </si>
  <si>
    <t>Dafu Esmalte Em Gel Cor 53 Uv Led</t>
  </si>
  <si>
    <t>5184932977092367</t>
  </si>
  <si>
    <t>MLB4584564219</t>
  </si>
  <si>
    <t>U3887938640</t>
  </si>
  <si>
    <t>DPX4776518861</t>
  </si>
  <si>
    <t>Pó Compacto Neon Selva Miss Róse -</t>
  </si>
  <si>
    <t>4028129874906191</t>
  </si>
  <si>
    <t>MLB4584567759</t>
  </si>
  <si>
    <t>U3877085741</t>
  </si>
  <si>
    <t>DPX2397207040</t>
  </si>
  <si>
    <t>Máscara Nutritiva Abacate Do Amor Eaê Cosméticos 500g -</t>
  </si>
  <si>
    <t>4577638904771923</t>
  </si>
  <si>
    <t>MLB4584569867</t>
  </si>
  <si>
    <t>U3877060069</t>
  </si>
  <si>
    <t>DPX3948226790</t>
  </si>
  <si>
    <t>Top - Glitter Para Unhas Linha Start 10ml - Real Love</t>
  </si>
  <si>
    <t>8843896929844750</t>
  </si>
  <si>
    <t>MLB4584570339</t>
  </si>
  <si>
    <t>U3877062547</t>
  </si>
  <si>
    <t>DPX1400430635</t>
  </si>
  <si>
    <t>Máscara - Você Biotina Hidratação Intensiva 1,5kg</t>
  </si>
  <si>
    <t>8909139542502416</t>
  </si>
  <si>
    <t>MLB4584572627</t>
  </si>
  <si>
    <t>U3877064731</t>
  </si>
  <si>
    <t>DPX5701824590</t>
  </si>
  <si>
    <t>Real Love Broca De Cerâmicas Unhas R-210 Manicure</t>
  </si>
  <si>
    <t>8318982475464334</t>
  </si>
  <si>
    <t>MLB4584577477</t>
  </si>
  <si>
    <t>U3877084559</t>
  </si>
  <si>
    <t>DPX4239223845</t>
  </si>
  <si>
    <t>Dafu Esmalte Em Gel 3 Em 1 10ml Cor 18 Uv Led</t>
  </si>
  <si>
    <t>1895618558536723</t>
  </si>
  <si>
    <t>MLB4584577873</t>
  </si>
  <si>
    <t>U3877085487</t>
  </si>
  <si>
    <t>DPX5997292322</t>
  </si>
  <si>
    <t>Dafu Esmalte Em Gel 3 Em 1 10ml Cor 36 Uv Led</t>
  </si>
  <si>
    <t>5085930526662481</t>
  </si>
  <si>
    <t>MLB4584578099</t>
  </si>
  <si>
    <t>U3887948770</t>
  </si>
  <si>
    <t>DPX1195691602</t>
  </si>
  <si>
    <t>Caneta Delineadora Love Rain 2 In 1 Eyeliner Precisão</t>
  </si>
  <si>
    <t>8557711238741585</t>
  </si>
  <si>
    <t>MLB4584583947</t>
  </si>
  <si>
    <t>U3877086169</t>
  </si>
  <si>
    <t>DPX4146829946</t>
  </si>
  <si>
    <t>Top Coat Blindado 10ml Real Love - Refil -</t>
  </si>
  <si>
    <t>3453461381983377</t>
  </si>
  <si>
    <t>MLB4584585373</t>
  </si>
  <si>
    <t>U3887954908</t>
  </si>
  <si>
    <t>DPX9317381430</t>
  </si>
  <si>
    <t>Dafu Esmalte Em Gel Cor 50 Uv Led</t>
  </si>
  <si>
    <t>7543063259306000</t>
  </si>
  <si>
    <t>MLB4584585577</t>
  </si>
  <si>
    <t>U3877090127</t>
  </si>
  <si>
    <t>DPX5798480110</t>
  </si>
  <si>
    <t>Dafu Esmalte Em Gel 3 Em 1 10ml Cor 20 Uv Led</t>
  </si>
  <si>
    <t>Envios por minha conta a cargo do comprador</t>
  </si>
  <si>
    <t>2650158859854992</t>
  </si>
  <si>
    <t>MLB4584586085</t>
  </si>
  <si>
    <t>U3887953878</t>
  </si>
  <si>
    <t>DPX3944918988</t>
  </si>
  <si>
    <t>Mascara P/ Cílios Challenge Super Alongamento Melu Peel Off</t>
  </si>
  <si>
    <t>6102510947662225</t>
  </si>
  <si>
    <t>MLB4584588131</t>
  </si>
  <si>
    <t>U3877091637</t>
  </si>
  <si>
    <t>DPX4082693304</t>
  </si>
  <si>
    <t>Pó Translucido Solto Facial Finalizador Febella -</t>
  </si>
  <si>
    <t>1384681267598288</t>
  </si>
  <si>
    <t>MLB4584588951</t>
  </si>
  <si>
    <t>U3887958126</t>
  </si>
  <si>
    <t>DPX3055369787</t>
  </si>
  <si>
    <t>Blindagem De Maquiagem Dapop Diluidor Fixador E Primer -</t>
  </si>
  <si>
    <t>8050488883720977</t>
  </si>
  <si>
    <t>MLB4584589335</t>
  </si>
  <si>
    <t>U3887960232</t>
  </si>
  <si>
    <t>DPX9600020670</t>
  </si>
  <si>
    <t>Dafu Esmalte Em Gel 3 Em 1 10ml Cor 26 Uv Led</t>
  </si>
  <si>
    <t>8721903411257552</t>
  </si>
  <si>
    <t>MLB4584593259</t>
  </si>
  <si>
    <t>U3887976064</t>
  </si>
  <si>
    <t>DPX8178223155</t>
  </si>
  <si>
    <t>Paleta 4 Em 1 Blush,contorno,iluminador,pó Compacto Lua&amp;nev</t>
  </si>
  <si>
    <t>2494633264834896</t>
  </si>
  <si>
    <t>MLB4584593273</t>
  </si>
  <si>
    <t>U3887976098</t>
  </si>
  <si>
    <t>DPX8178223155VAR2</t>
  </si>
  <si>
    <t>Paleta 4 Em 1 Blush,contorno,iluminador,pó Compact - Cor: 0</t>
  </si>
  <si>
    <t>5565927396363602</t>
  </si>
  <si>
    <t>MLB4584594103</t>
  </si>
  <si>
    <t>U3877112909</t>
  </si>
  <si>
    <t>DPX7798538171</t>
  </si>
  <si>
    <t>Melhor Btox Para Cabelo Sem Formol Argila Branca Felicity -</t>
  </si>
  <si>
    <t>7626762015837202</t>
  </si>
  <si>
    <t>MLB4584594863</t>
  </si>
  <si>
    <t>U3887982304</t>
  </si>
  <si>
    <t>DPX8197817452</t>
  </si>
  <si>
    <t>Kit Lissever Progressiva Sem Formol White 2x1l Eaê -</t>
  </si>
  <si>
    <t>4149370037931279</t>
  </si>
  <si>
    <t>MLB4584595307</t>
  </si>
  <si>
    <t>U3887981206</t>
  </si>
  <si>
    <t>DPX6906858305</t>
  </si>
  <si>
    <t>Real Love Gel De Alonga Recons Hard 1 Transparente 15ml</t>
  </si>
  <si>
    <t>MLB4584602625</t>
  </si>
  <si>
    <t>U3887995168</t>
  </si>
  <si>
    <t>Febella Blindagem 3 Em 1 Primer, Diluidor E Fixador Fixação</t>
  </si>
  <si>
    <t>5467719542220562</t>
  </si>
  <si>
    <t>MLB4584602893</t>
  </si>
  <si>
    <t>U3887995560</t>
  </si>
  <si>
    <t>DPX7498011111VAR2</t>
  </si>
  <si>
    <t>Miss Rose Base Matte Professional Make-up Profissional</t>
  </si>
  <si>
    <t>3003288079273296</t>
  </si>
  <si>
    <t>MLB4584605055</t>
  </si>
  <si>
    <t>U3877138603</t>
  </si>
  <si>
    <t>DPX8008885854</t>
  </si>
  <si>
    <t>Blush Bastão Stick 3 Lua Neve Maquiagem</t>
  </si>
  <si>
    <t>4499225818867346</t>
  </si>
  <si>
    <t>MLB4584605283</t>
  </si>
  <si>
    <t>U3888003884</t>
  </si>
  <si>
    <t>DPX7233388956</t>
  </si>
  <si>
    <t>Felicity Btox Capilar Argila E Vitamina B5 1kg</t>
  </si>
  <si>
    <t>3007182334297235</t>
  </si>
  <si>
    <t>MLB4584605769</t>
  </si>
  <si>
    <t>U3877142431</t>
  </si>
  <si>
    <t>DPX8059890765</t>
  </si>
  <si>
    <t>Broca De Cerâmica Unha Flame (f) Vermelho Manicure</t>
  </si>
  <si>
    <t>619442302148050</t>
  </si>
  <si>
    <t>MLB4584609703</t>
  </si>
  <si>
    <t>U3887981518</t>
  </si>
  <si>
    <t>DPX5922264000</t>
  </si>
  <si>
    <t>Dafu Esmalte Em Gel 3 Em 1 10ml Cor 1 Uv Led</t>
  </si>
  <si>
    <t>6824741181451410</t>
  </si>
  <si>
    <t>MLB4584610121</t>
  </si>
  <si>
    <t>U3877122465</t>
  </si>
  <si>
    <t>DPX6831650373</t>
  </si>
  <si>
    <t>Dafu Esmalte Em Gel 3 Em 1 10ml Cor 8 Uv Led</t>
  </si>
  <si>
    <t>3084428316330451</t>
  </si>
  <si>
    <t>MLB4584610625</t>
  </si>
  <si>
    <t>U3877124445</t>
  </si>
  <si>
    <t>DPX5204855687</t>
  </si>
  <si>
    <t>Dafu Esmalte Em Gel 3 Em 1 10ml Cor 11 Uv Led</t>
  </si>
  <si>
    <t>8102731716800913</t>
  </si>
  <si>
    <t>MLB4584610895</t>
  </si>
  <si>
    <t>U3877123527</t>
  </si>
  <si>
    <t>DPX3134649937</t>
  </si>
  <si>
    <t>Dafu Esmalte Em Gel 3 Em 1 10ml Cor 13 Uv Led</t>
  </si>
  <si>
    <t>1557502346579216</t>
  </si>
  <si>
    <t>MLB4584612311</t>
  </si>
  <si>
    <t>U3887991560</t>
  </si>
  <si>
    <t>DPX4941582800</t>
  </si>
  <si>
    <t>Soul Cosméticos Babasoul Hidratante Labial Cheirinho De</t>
  </si>
  <si>
    <t>4621478225158098</t>
  </si>
  <si>
    <t>MLB4584613163</t>
  </si>
  <si>
    <t>U3877130847</t>
  </si>
  <si>
    <t>DPX7498011111VAR4</t>
  </si>
  <si>
    <t>Base Matte Professional Make-up Miss Rose - Cor: 03</t>
  </si>
  <si>
    <t>1034262937760337</t>
  </si>
  <si>
    <t>MLB4584614663</t>
  </si>
  <si>
    <t>U3887999690</t>
  </si>
  <si>
    <t>DPX9991872406</t>
  </si>
  <si>
    <t>Ruby Rose Base Líquida Média Cobertura C00 25g Matte</t>
  </si>
  <si>
    <t>3736928556065361</t>
  </si>
  <si>
    <t>MLB4584615399</t>
  </si>
  <si>
    <t>U3888003592</t>
  </si>
  <si>
    <t>DPX6026554537</t>
  </si>
  <si>
    <t>Rofer Botox Capilar Realinhamento Sem Formol Anti Frizz</t>
  </si>
  <si>
    <t>5747476568402322</t>
  </si>
  <si>
    <t>MLB4584619887</t>
  </si>
  <si>
    <t>U3877159227</t>
  </si>
  <si>
    <t>DPX5333182689</t>
  </si>
  <si>
    <t>Real Love Gel Alongamento De Unha 19 Nude Uv Led Refil 15g</t>
  </si>
  <si>
    <t>8788057030041999</t>
  </si>
  <si>
    <t>MLB4584624835</t>
  </si>
  <si>
    <t>U3877145129</t>
  </si>
  <si>
    <t>DPX3584822736VAR2</t>
  </si>
  <si>
    <t>Caneta Fio A Fio  P/sobrancelhas Eyebrow - Cor: Marrom Calro</t>
  </si>
  <si>
    <t>3232698179269073</t>
  </si>
  <si>
    <t>MLB4584625997</t>
  </si>
  <si>
    <t>U3888019198</t>
  </si>
  <si>
    <t>DPX5311895839</t>
  </si>
  <si>
    <t>Vivai Base Liquida Perfect Cor 2 Bege Claro Matte 30ml Matte</t>
  </si>
  <si>
    <t>1209702716361812</t>
  </si>
  <si>
    <t>MLB4584629063</t>
  </si>
  <si>
    <t>U3888027592</t>
  </si>
  <si>
    <t>DPX7696766586</t>
  </si>
  <si>
    <t>Dafu Kit 4 Esmalte Em Gel Tons De Violeta Uv Led</t>
  </si>
  <si>
    <t>314295976699156</t>
  </si>
  <si>
    <t>MLB4584630349</t>
  </si>
  <si>
    <t>U3877167791</t>
  </si>
  <si>
    <t>DPX3798355577</t>
  </si>
  <si>
    <t>Soul Cosméticos Kit Capilar 3 Peças Rosa Mosqueta Hidratação</t>
  </si>
  <si>
    <t>4343907734383314</t>
  </si>
  <si>
    <t>MLB4584631083</t>
  </si>
  <si>
    <t>U3877170867</t>
  </si>
  <si>
    <t>DPX5707921456</t>
  </si>
  <si>
    <t>Ph Balancing Diamante Linha Pro 10 Ml Real Love -</t>
  </si>
  <si>
    <t>5281052239385232</t>
  </si>
  <si>
    <t>MLB4584631761</t>
  </si>
  <si>
    <t>U3877173421</t>
  </si>
  <si>
    <t>DPX8541329638</t>
  </si>
  <si>
    <t>Dafu Kit Esmaltes Em Gel Tons De Marrons Uv Led</t>
  </si>
  <si>
    <t>6110357553429263</t>
  </si>
  <si>
    <t>MLB4584632803</t>
  </si>
  <si>
    <t>U3888041348</t>
  </si>
  <si>
    <t>DPX3330362508</t>
  </si>
  <si>
    <t>Dafu Esmalte Em Gel 10ml Cor M025 Uv Led</t>
  </si>
  <si>
    <t>870065271420817</t>
  </si>
  <si>
    <t>MLB4584635247</t>
  </si>
  <si>
    <t>U3877148645</t>
  </si>
  <si>
    <t>DPX9048315453</t>
  </si>
  <si>
    <t>Decoração Para Unhas</t>
  </si>
  <si>
    <t>2704449208084306</t>
  </si>
  <si>
    <t>MLB4584649203</t>
  </si>
  <si>
    <t>U3888028316</t>
  </si>
  <si>
    <t>DPX7345159374</t>
  </si>
  <si>
    <t>Real Love Kit 5 Sachê Refil Sculping Gel Unhas Light 15ml</t>
  </si>
  <si>
    <t>7797887371784784</t>
  </si>
  <si>
    <t>MLB4584650989</t>
  </si>
  <si>
    <t>U3877174019</t>
  </si>
  <si>
    <t>DPX1435833614</t>
  </si>
  <si>
    <t>Real Love Kit Top Coat Blindado + Refil Top Coat 15ml 10ml</t>
  </si>
  <si>
    <t>Transparente</t>
  </si>
  <si>
    <t>1254097329801298</t>
  </si>
  <si>
    <t>MLB4584651777</t>
  </si>
  <si>
    <t>U3888040240</t>
  </si>
  <si>
    <t>DPX8190738041</t>
  </si>
  <si>
    <t>Dafu Kit Esmaltes Em Gel Tons De Nudes Max Uv Led</t>
  </si>
  <si>
    <t>8782191335777039</t>
  </si>
  <si>
    <t>MLB4584652237</t>
  </si>
  <si>
    <t>U3888039702</t>
  </si>
  <si>
    <t>DPX2352448398</t>
  </si>
  <si>
    <t>Dafu Esmalte Em Gel 10ml Cor M021 Uv Led</t>
  </si>
  <si>
    <t>992139642355793</t>
  </si>
  <si>
    <t>MLB4584661949</t>
  </si>
  <si>
    <t>U3877166119</t>
  </si>
  <si>
    <t>DPX4584805915</t>
  </si>
  <si>
    <t>Dafu Kit 5 Esmaltes Vermelhos Em Gel 10ml Alta Cobertura</t>
  </si>
  <si>
    <t>1391164323861714</t>
  </si>
  <si>
    <t>MLB4584662377</t>
  </si>
  <si>
    <t>U3877165917</t>
  </si>
  <si>
    <t>DPX1189952786</t>
  </si>
  <si>
    <t>Dafu Kit 3 Pinceis Finos Nail Decoração Rosa E Dourado</t>
  </si>
  <si>
    <t>7574812072850001</t>
  </si>
  <si>
    <t>MLB4584663565</t>
  </si>
  <si>
    <t>U3888035742</t>
  </si>
  <si>
    <t>DPX2236266513</t>
  </si>
  <si>
    <t>Top Coat Para Unhas - Glitter Real Love Linha Light 12ml C</t>
  </si>
  <si>
    <t>Glitter</t>
  </si>
  <si>
    <t>3610757160136723</t>
  </si>
  <si>
    <t>MLB4584664739</t>
  </si>
  <si>
    <t>U3888039260</t>
  </si>
  <si>
    <t>DPX4142215402</t>
  </si>
  <si>
    <t>Dafu Esmalte Em Gel 10ml Cor M016 Uv Led</t>
  </si>
  <si>
    <t>917744675857040</t>
  </si>
  <si>
    <t>MLB4584665365</t>
  </si>
  <si>
    <t>U3888041640</t>
  </si>
  <si>
    <t>DPX1113480793</t>
  </si>
  <si>
    <t>Dafu Esmalte Em Gel 10ml Cor M028 Uv Led</t>
  </si>
  <si>
    <t>7749385423328337</t>
  </si>
  <si>
    <t>MLB4584983049</t>
  </si>
  <si>
    <t>U3877373873</t>
  </si>
  <si>
    <t>DPX6461397530</t>
  </si>
  <si>
    <t>Twinkle Touch Sombra Iluminador 2 Em 1 Pink Luster Ruby Rose</t>
  </si>
  <si>
    <t>6383372453756305</t>
  </si>
  <si>
    <t>MLB4584983343</t>
  </si>
  <si>
    <t>U3888239922</t>
  </si>
  <si>
    <t>DPX3243139916VAR3</t>
  </si>
  <si>
    <t>Pó Compacto Da Ruby Rose Efeito Natural E Mat - Cor: Citrin</t>
  </si>
  <si>
    <t>4551066310327376</t>
  </si>
  <si>
    <t>MLB4585041785</t>
  </si>
  <si>
    <t>U3877373545</t>
  </si>
  <si>
    <t>DPX9336742093</t>
  </si>
  <si>
    <t>Gloss Labial Aumenta Volume Big Mouth Rainbow Phállebeauty</t>
  </si>
  <si>
    <t>960653159178387</t>
  </si>
  <si>
    <t>MLB4585055157</t>
  </si>
  <si>
    <t>U3877374751</t>
  </si>
  <si>
    <t>DPX3243139916VAR5</t>
  </si>
  <si>
    <t>Pó Compacto Da Ruby Rose Efeito Natural E Ma - Cor: Sunshin</t>
  </si>
  <si>
    <t>3481198034050257</t>
  </si>
  <si>
    <t>MLB4585057971</t>
  </si>
  <si>
    <t>U3877382401</t>
  </si>
  <si>
    <t>DPX6738386131</t>
  </si>
  <si>
    <t>Mascara De Cilios Big Lash Super Volume Pink 21 -</t>
  </si>
  <si>
    <t>4851806527485970</t>
  </si>
  <si>
    <t>MLB4585058537</t>
  </si>
  <si>
    <t>U3888248468</t>
  </si>
  <si>
    <t>DPX6329959645</t>
  </si>
  <si>
    <t>Lapis Labial Pink 21 Lapis Para Contorno Labial -</t>
  </si>
  <si>
    <t>8840238015207568</t>
  </si>
  <si>
    <t>MLB4585062183</t>
  </si>
  <si>
    <t>U3877395217</t>
  </si>
  <si>
    <t>DPX7072505140</t>
  </si>
  <si>
    <t>Pro Repair Ultra Mask 500g Passo Único Let Me Be -</t>
  </si>
  <si>
    <t>7261897896111823</t>
  </si>
  <si>
    <t>MLB4585062351</t>
  </si>
  <si>
    <t>U3888257560</t>
  </si>
  <si>
    <t>DPX9962882324</t>
  </si>
  <si>
    <t xml:space="preserve">Shampoo Nutrição Intensa Abacate Do Amor Eaê Cosméticos </t>
  </si>
  <si>
    <t>4332372980249617</t>
  </si>
  <si>
    <t>MLB4585063401</t>
  </si>
  <si>
    <t>U3888262288</t>
  </si>
  <si>
    <t>DPX7929327431</t>
  </si>
  <si>
    <t>Dafu Kit Esmaltes Em Gel Tons De Vermelho E Vinho Uv Led</t>
  </si>
  <si>
    <t>5262993308135503</t>
  </si>
  <si>
    <t>MLB4585067815</t>
  </si>
  <si>
    <t>U3888239726</t>
  </si>
  <si>
    <t>DPX4951395792</t>
  </si>
  <si>
    <t>Paleta De Sombras Eyeshadow Sarah's Beauty 8 Cores Cor:b -</t>
  </si>
  <si>
    <t>6962555168716625</t>
  </si>
  <si>
    <t>MLB4585067947</t>
  </si>
  <si>
    <t>U3877374765</t>
  </si>
  <si>
    <t>DPX3243139916VAR2</t>
  </si>
  <si>
    <t>Pó Compacto Da Ruby Rose Efeito Natural E Matte - Cor: Acqu</t>
  </si>
  <si>
    <t>683973658601488</t>
  </si>
  <si>
    <t>MLB4585083959</t>
  </si>
  <si>
    <t>U3888258172</t>
  </si>
  <si>
    <t>DPX4538949917</t>
  </si>
  <si>
    <t>Shampoo Ultra Hidratante Morango Do Amor Eaê Cosméticos 1l</t>
  </si>
  <si>
    <t>637451123066579</t>
  </si>
  <si>
    <t>MLB4585086005</t>
  </si>
  <si>
    <t>U3877397441</t>
  </si>
  <si>
    <t>DPX9844155184</t>
  </si>
  <si>
    <t>Katy Difusor De Ar Profissional</t>
  </si>
  <si>
    <t>Preto</t>
  </si>
  <si>
    <t>5253076012202193</t>
  </si>
  <si>
    <t>MLB4585089637</t>
  </si>
  <si>
    <t>U3888240404</t>
  </si>
  <si>
    <t>DPX3243139916VAR4</t>
  </si>
  <si>
    <t>Pó Compacto Da Ruby Rose Efeito Natural E Mat - Cor: Sunfli</t>
  </si>
  <si>
    <t>4402818884239635</t>
  </si>
  <si>
    <t>MLB4585105515</t>
  </si>
  <si>
    <t>U3877384019</t>
  </si>
  <si>
    <t>DPX8106594238_VAR_ROSA</t>
  </si>
  <si>
    <t>Lip Balm Hidratante Incolor Ursinho Querido Mia  - Cor: Rosa</t>
  </si>
  <si>
    <t>5809974116465490</t>
  </si>
  <si>
    <t>MLB4585108445</t>
  </si>
  <si>
    <t>U3877390811</t>
  </si>
  <si>
    <t>DPX8939158788</t>
  </si>
  <si>
    <t>Máscara De Cilios Glam Vivai -</t>
  </si>
  <si>
    <t>778814585810579</t>
  </si>
  <si>
    <t>MLB4585108959</t>
  </si>
  <si>
    <t>U3877394707</t>
  </si>
  <si>
    <t>DPX6978901659</t>
  </si>
  <si>
    <t>Febella Lápis Delineador Trey Rereal Xtreme Precision Llner</t>
  </si>
  <si>
    <t>3068789506522960</t>
  </si>
  <si>
    <t>MLB4585111941</t>
  </si>
  <si>
    <t>U3888261306</t>
  </si>
  <si>
    <t>DPX9702239711</t>
  </si>
  <si>
    <t>Felicity Kit 6 Máscara Tonalizante Marsala 500g Hidratação</t>
  </si>
  <si>
    <t>8920912602564942</t>
  </si>
  <si>
    <t>MLB4585238289</t>
  </si>
  <si>
    <t>U3888346402</t>
  </si>
  <si>
    <t>DPX4359331558</t>
  </si>
  <si>
    <t>Dafu Esmalte Em Gel Cor 16 Uv Led</t>
  </si>
  <si>
    <t>1009365502588051</t>
  </si>
  <si>
    <t>MLB4585238701</t>
  </si>
  <si>
    <t>U3888348554</t>
  </si>
  <si>
    <t>DPX2060432488</t>
  </si>
  <si>
    <t>Ruby Rose Gel Sobrancelhas Brow Rise Efeito Lamination</t>
  </si>
  <si>
    <t>1938187544776018</t>
  </si>
  <si>
    <t>MLB4585248877</t>
  </si>
  <si>
    <t>U3877483373</t>
  </si>
  <si>
    <t>DPX4462882964</t>
  </si>
  <si>
    <t>Dafu Esmalte Em Gel Cor 17 Uv Led</t>
  </si>
  <si>
    <t>2922059587493648</t>
  </si>
  <si>
    <t>MLB4585257123</t>
  </si>
  <si>
    <t>U3877504881</t>
  </si>
  <si>
    <t>DPX7701495550</t>
  </si>
  <si>
    <t>Quarteto De Sombra Ludurana Nude Matte -</t>
  </si>
  <si>
    <t>6045880284958289</t>
  </si>
  <si>
    <t>MLB4585260713</t>
  </si>
  <si>
    <t>U3888352008</t>
  </si>
  <si>
    <t>DPX6045064649VAR7</t>
  </si>
  <si>
    <t>Pó Compacto Vegano Dalla - Cor: 07</t>
  </si>
  <si>
    <t>3041318925789521</t>
  </si>
  <si>
    <t>MLB4585262613</t>
  </si>
  <si>
    <t>U3888354996</t>
  </si>
  <si>
    <t>DPX8238859992</t>
  </si>
  <si>
    <t>Dafu Esmalte Em Gel Cor 10 Uv Led</t>
  </si>
  <si>
    <t>3575175657697875</t>
  </si>
  <si>
    <t>MLB4585299849</t>
  </si>
  <si>
    <t>U3877508927</t>
  </si>
  <si>
    <t>DPX5459191514VAR2</t>
  </si>
  <si>
    <t>Pó Solto Facial Sinta-se Miss Rose - Cor: 01</t>
  </si>
  <si>
    <t>6682735054843727</t>
  </si>
  <si>
    <t>MLB4585307479</t>
  </si>
  <si>
    <t>U3888386924</t>
  </si>
  <si>
    <t>DPX4194766688</t>
  </si>
  <si>
    <t>Dafu Esmalte Em Gel 3 Em 1 10ml Cor 4 Uv Led</t>
  </si>
  <si>
    <t>7979803528780433</t>
  </si>
  <si>
    <t>MLB4585307991</t>
  </si>
  <si>
    <t>U3888389224</t>
  </si>
  <si>
    <t>DPX8480486750</t>
  </si>
  <si>
    <t>Dafu Esmalte Em Gel 3 Em 1 10ml Cor 7 Uv Led</t>
  </si>
  <si>
    <t>601139845041874</t>
  </si>
  <si>
    <t>MLB4585308541</t>
  </si>
  <si>
    <t>U3888391694</t>
  </si>
  <si>
    <t>DPX4179408954VAR3</t>
  </si>
  <si>
    <t>Miss Rose Base Stick Media Alta Cobertura Matte</t>
  </si>
  <si>
    <t>5665493429455888</t>
  </si>
  <si>
    <t>MLB4585308875</t>
  </si>
  <si>
    <t>U3877528237</t>
  </si>
  <si>
    <t>DPX2197437221</t>
  </si>
  <si>
    <t>Vivai Base Liquida Matte Perfect Cover 30ml Matte</t>
  </si>
  <si>
    <t>5107717454946643</t>
  </si>
  <si>
    <t>MLB4585308889</t>
  </si>
  <si>
    <t>U3888392606</t>
  </si>
  <si>
    <t>DPX2197437221VAR9</t>
  </si>
  <si>
    <t>Base Liquida Matte Perfect Cover Vivai 30ml - Cor: 08</t>
  </si>
  <si>
    <t>6846850688039823</t>
  </si>
  <si>
    <t>MLB4585308947</t>
  </si>
  <si>
    <t>U3877530071</t>
  </si>
  <si>
    <t>DPX2197437221VAR5</t>
  </si>
  <si>
    <t>Base Liquida Matte Perfect Cover Vivai 30ml - Cor: 04</t>
  </si>
  <si>
    <t>1500352960954514</t>
  </si>
  <si>
    <t>MLB4585308955</t>
  </si>
  <si>
    <t>U3877530081</t>
  </si>
  <si>
    <t>DPX2197437221VAR3</t>
  </si>
  <si>
    <t>Base Liquida Matte Perfect Cover Vivai 30ml - Cor: 02</t>
  </si>
  <si>
    <t>6099964993452049</t>
  </si>
  <si>
    <t>MLB4585309219</t>
  </si>
  <si>
    <t>U3877530369</t>
  </si>
  <si>
    <t>DPX9247723847</t>
  </si>
  <si>
    <t>Blush Bastão Stick 1 Lua Neve Maquiagem</t>
  </si>
  <si>
    <t>MLB4585309441</t>
  </si>
  <si>
    <t>Blush Compacto Pro Face Griffty Maquiagem</t>
  </si>
  <si>
    <t>5626097425369106</t>
  </si>
  <si>
    <t>MLB4585319651</t>
  </si>
  <si>
    <t>U3877523793</t>
  </si>
  <si>
    <t>DPX9207380268</t>
  </si>
  <si>
    <t>Unha Postiça Realista Solft Gel Almond Df-62 M Dafu -</t>
  </si>
  <si>
    <t>1769280538222995</t>
  </si>
  <si>
    <t>MLB4585320933</t>
  </si>
  <si>
    <t>U3877526423</t>
  </si>
  <si>
    <t>DPX4179408954</t>
  </si>
  <si>
    <t>Base Stick Media Alta Cobertura Miss Rose -</t>
  </si>
  <si>
    <t>3717810294357138</t>
  </si>
  <si>
    <t>MLB4585330783</t>
  </si>
  <si>
    <t>U3877525325</t>
  </si>
  <si>
    <t>DPX3656514894</t>
  </si>
  <si>
    <t>Dafu Esmalte Em Gel 3 Em 1 10ml Cor 2 Uv Led</t>
  </si>
  <si>
    <t>8046637906879503</t>
  </si>
  <si>
    <t>MLB4585331415</t>
  </si>
  <si>
    <t>U3888392304</t>
  </si>
  <si>
    <t>DPX4179408954VAR4</t>
  </si>
  <si>
    <t>Base Stick Media Alta Cobertura Miss Rose - Cor: N04</t>
  </si>
  <si>
    <t>571516308928339</t>
  </si>
  <si>
    <t>MLB4585340585</t>
  </si>
  <si>
    <t>U3877525115</t>
  </si>
  <si>
    <t>DPX4314136803</t>
  </si>
  <si>
    <t>Dafu Esmalte Em Gel 3 Em 1 10ml Cor 10 Uv Led</t>
  </si>
  <si>
    <t>6757139299425362</t>
  </si>
  <si>
    <t>MLB4585341253</t>
  </si>
  <si>
    <t>U3877526147</t>
  </si>
  <si>
    <t>DPX6999757997VAR5</t>
  </si>
  <si>
    <t>Ruby Rose Base Stick Bastão Cremoso Perfect Blend By Matte</t>
  </si>
  <si>
    <t>622361078280785</t>
  </si>
  <si>
    <t>MLB4585341463</t>
  </si>
  <si>
    <t>U3888392318</t>
  </si>
  <si>
    <t>DPX4179408954VAR2</t>
  </si>
  <si>
    <t>Base Stick Media Alta Cobertura Miss Rose - Cor: N02</t>
  </si>
  <si>
    <t>1818014029030544</t>
  </si>
  <si>
    <t>MLB4585341799</t>
  </si>
  <si>
    <t>U3877530049</t>
  </si>
  <si>
    <t>DPX2197437221VAR6</t>
  </si>
  <si>
    <t>Base Liquida Matte Perfect Cover Vivai 30ml - Cor: 05</t>
  </si>
  <si>
    <t>MLB4585343751</t>
  </si>
  <si>
    <t>Labranche Blush Mágico Cristal 3 Em 1 Pele Natural Coradinha</t>
  </si>
  <si>
    <t>3008891457839055</t>
  </si>
  <si>
    <t>MLB4585344435</t>
  </si>
  <si>
    <t>U3877533325</t>
  </si>
  <si>
    <t>DPX7344299959</t>
  </si>
  <si>
    <t>Pink 21 Caneta Delineadora Sobrancelhas Castanho Claro</t>
  </si>
  <si>
    <t>3249509847736274</t>
  </si>
  <si>
    <t>MLB4585344801</t>
  </si>
  <si>
    <t>U3888397222</t>
  </si>
  <si>
    <t>DPX9785250250</t>
  </si>
  <si>
    <t>Dafu Curvex Modelador De Cílios Pessego Volume</t>
  </si>
  <si>
    <t>842411999178705</t>
  </si>
  <si>
    <t>MLB4585350795</t>
  </si>
  <si>
    <t>U3877524071</t>
  </si>
  <si>
    <t>DPX1310796464</t>
  </si>
  <si>
    <t>Madre Pérola Concha Fio De Ouro Decoração Unha Acrigel</t>
  </si>
  <si>
    <t>3583804467492626</t>
  </si>
  <si>
    <t>MLB4585352541</t>
  </si>
  <si>
    <t>U3888392642</t>
  </si>
  <si>
    <t>DPX2197437221VAR7</t>
  </si>
  <si>
    <t>Base Liquida Matte Perfect Cover Vivai 30ml - Cor: 06</t>
  </si>
  <si>
    <t>3809041352235986</t>
  </si>
  <si>
    <t>MLB4585352569</t>
  </si>
  <si>
    <t>U3877526801</t>
  </si>
  <si>
    <t>DPX2197437221VAR2</t>
  </si>
  <si>
    <t>Base Liquida Matte Perfect Cover Vivai 30ml - Cor: 01</t>
  </si>
  <si>
    <t>2088090465331345</t>
  </si>
  <si>
    <t>MLB4585355461</t>
  </si>
  <si>
    <t>U3888398954</t>
  </si>
  <si>
    <t>DPX4001067649</t>
  </si>
  <si>
    <t>Pink 21 Caneta Delineadora Sobrancelhas Castanho Escuro</t>
  </si>
  <si>
    <t>6479644486989200</t>
  </si>
  <si>
    <t>MLB4585429925</t>
  </si>
  <si>
    <t>U3877565113</t>
  </si>
  <si>
    <t>DPX9707466005VAR5</t>
  </si>
  <si>
    <t>Dapop Base Fluida Vegana Make Bem Basiquinha Profissional</t>
  </si>
  <si>
    <t>7891839500601231</t>
  </si>
  <si>
    <t>MLB4585431479</t>
  </si>
  <si>
    <t>U3888435512</t>
  </si>
  <si>
    <t>DPX5329292544</t>
  </si>
  <si>
    <t>Febella Delineador Liquido 24 Horas Precisão</t>
  </si>
  <si>
    <t>5102832353640723</t>
  </si>
  <si>
    <t>MLB4585433831</t>
  </si>
  <si>
    <t>U3888448026</t>
  </si>
  <si>
    <t>DPX3917328030</t>
  </si>
  <si>
    <t>Felicity Kit 3 Ativos Definitiva De Quiabo 3x1 Anti Frizz</t>
  </si>
  <si>
    <t>7228690329351442</t>
  </si>
  <si>
    <t>MLB4585434785</t>
  </si>
  <si>
    <t>U3877584319</t>
  </si>
  <si>
    <t>DPX8519012910</t>
  </si>
  <si>
    <t>Kit 3 Máscara Liso Absoluto Abaixa Frizz 250g Hidratação</t>
  </si>
  <si>
    <t>8987475366903375</t>
  </si>
  <si>
    <t>MLB4585436883</t>
  </si>
  <si>
    <t>U3888452984</t>
  </si>
  <si>
    <t>DPX4824564061</t>
  </si>
  <si>
    <t>Real Love Gel De Alongamento De Unha 18 White Branco 30ml 18</t>
  </si>
  <si>
    <t>6442722195969745</t>
  </si>
  <si>
    <t>MLB4585441713</t>
  </si>
  <si>
    <t>U3888435114</t>
  </si>
  <si>
    <t>DPX4531045806</t>
  </si>
  <si>
    <t>Rofer Banho De Ouro 1kgg Recuperação De Cabelos Danificados</t>
  </si>
  <si>
    <t>5248450331075343</t>
  </si>
  <si>
    <t>MLB4585442451</t>
  </si>
  <si>
    <t>U3888436922</t>
  </si>
  <si>
    <t>DPX1989912605</t>
  </si>
  <si>
    <t>Dafu Esmalte Em Gel 3 Em 1 10ml Cor 38 Uv Led</t>
  </si>
  <si>
    <t>2999718834602577</t>
  </si>
  <si>
    <t>MLB4585442869</t>
  </si>
  <si>
    <t>U3888441348</t>
  </si>
  <si>
    <t>DPX6751754127</t>
  </si>
  <si>
    <t>Gel Construtor Dafu Alongamento Unha 07 Uv/led 15 G -</t>
  </si>
  <si>
    <t>6797620295134482</t>
  </si>
  <si>
    <t>MLB4585453745</t>
  </si>
  <si>
    <t>U3888444298</t>
  </si>
  <si>
    <t>DPX9434780794</t>
  </si>
  <si>
    <t>Dafu Kit 12 Esmaltes 3em1 Marrons 5ml Uv Led</t>
  </si>
  <si>
    <t>8876254402187217</t>
  </si>
  <si>
    <t>MLB4585453849</t>
  </si>
  <si>
    <t>U3877580535</t>
  </si>
  <si>
    <t>DPX5624306333</t>
  </si>
  <si>
    <t>Dafu Kit 12 Esmaltes 3em1 Nude 5ml Uv Led</t>
  </si>
  <si>
    <t>7579639405704847</t>
  </si>
  <si>
    <t>MLB4585454955</t>
  </si>
  <si>
    <t>U3877584035</t>
  </si>
  <si>
    <t>DPX2045598742</t>
  </si>
  <si>
    <t>Real Love Kit 3 Refil Base Em Gel Light 10ml Uv Led</t>
  </si>
  <si>
    <t>8485275758184911</t>
  </si>
  <si>
    <t>MLB4585456975</t>
  </si>
  <si>
    <t>U3877588613</t>
  </si>
  <si>
    <t>DPX9697523836</t>
  </si>
  <si>
    <t>Primer Non Acid Linha Pro 10ml - Real Love -</t>
  </si>
  <si>
    <t>5319379521730833</t>
  </si>
  <si>
    <t>MLB4585457231</t>
  </si>
  <si>
    <t>U3888454980</t>
  </si>
  <si>
    <t>DPX3283637333</t>
  </si>
  <si>
    <t>Real Love Gel De Alongamento De Unha Sculping 15ml Light</t>
  </si>
  <si>
    <t>8378287884987090</t>
  </si>
  <si>
    <t>MLB4585462969</t>
  </si>
  <si>
    <t>U3888465518</t>
  </si>
  <si>
    <t>DPX4589274550</t>
  </si>
  <si>
    <t>Dafu Esmalte Em Gel 10ml Cor M019 Uv Led</t>
  </si>
  <si>
    <t>1712991581033809</t>
  </si>
  <si>
    <t>MLB4585463929</t>
  </si>
  <si>
    <t>U3888465852</t>
  </si>
  <si>
    <t>DPX4137984240</t>
  </si>
  <si>
    <t>Dafu Esmalte Em Gel 10ml Cor M030 Uv Led</t>
  </si>
  <si>
    <t>2797250934613265</t>
  </si>
  <si>
    <t>MLB4585464577</t>
  </si>
  <si>
    <t>U3877600601</t>
  </si>
  <si>
    <t>DPX1081024465</t>
  </si>
  <si>
    <t>Dafu Esmalte Em Gel 10ml Cor M036 Uv Led</t>
  </si>
  <si>
    <t>3499504982882003</t>
  </si>
  <si>
    <t>MLB4585465687</t>
  </si>
  <si>
    <t>U3877602633</t>
  </si>
  <si>
    <t>DPX1496117829</t>
  </si>
  <si>
    <t>Real Love Gel De Alongamento 7 Nude 15ml Alongamento</t>
  </si>
  <si>
    <t>5897433951627090</t>
  </si>
  <si>
    <t>MLB4585519411</t>
  </si>
  <si>
    <t>U3888463284</t>
  </si>
  <si>
    <t>DPX3467945264</t>
  </si>
  <si>
    <t>Dafu Esmalte Em Gel 10ml Cor M002 Uv Led</t>
  </si>
  <si>
    <t>Branco</t>
  </si>
  <si>
    <t>1751595294063057</t>
  </si>
  <si>
    <t>MLB4585520705</t>
  </si>
  <si>
    <t>U3888465280</t>
  </si>
  <si>
    <t>DPX5665698413</t>
  </si>
  <si>
    <t>Dafu Esmalte Em Gel 10ml Cor M012 Uv Led</t>
  </si>
  <si>
    <t>8310952365994642</t>
  </si>
  <si>
    <t>MLB4585522043</t>
  </si>
  <si>
    <t>U3888465676</t>
  </si>
  <si>
    <t>DPX9068126861</t>
  </si>
  <si>
    <t>Dafu Esmalte Em Gel 10ml Cor M026 Uv Led</t>
  </si>
  <si>
    <t>2528950695445779</t>
  </si>
  <si>
    <t>MLB4585525453</t>
  </si>
  <si>
    <t>U3888468634</t>
  </si>
  <si>
    <t>DPX2651948469</t>
  </si>
  <si>
    <t>Dafu Esmalte Em Gel 3 Em 1 10ml Cor 25 Uv Led</t>
  </si>
  <si>
    <t>3206779371560529</t>
  </si>
  <si>
    <t>MLB4585527037</t>
  </si>
  <si>
    <t>U3888472892</t>
  </si>
  <si>
    <t>DPX8409081795</t>
  </si>
  <si>
    <t>Dafu Esmalte Em Gel 3 Em 1 10ml Cor 29 Uv Led</t>
  </si>
  <si>
    <t>6501658261321360</t>
  </si>
  <si>
    <t>MLB4585527345</t>
  </si>
  <si>
    <t>U3888473338</t>
  </si>
  <si>
    <t>DPX9715036569</t>
  </si>
  <si>
    <t>Dafu Esmalte Em Gel 3 Em 1 10ml Cor 32 Uv Led</t>
  </si>
  <si>
    <t>1316407106033106</t>
  </si>
  <si>
    <t>MLB4585529653</t>
  </si>
  <si>
    <t>U3877611597</t>
  </si>
  <si>
    <t>DPX3801444145</t>
  </si>
  <si>
    <t>Dafu Esmalte Em Gel Tons De Marrom Cor 6 Uv Led</t>
  </si>
  <si>
    <t>3475219265878032</t>
  </si>
  <si>
    <t>MLB4585531345</t>
  </si>
  <si>
    <t>U3888479838</t>
  </si>
  <si>
    <t>DPX9795683910</t>
  </si>
  <si>
    <t>Dafu Esmalte Em Gel Cor 67 Uv Led</t>
  </si>
  <si>
    <t>2513783863700243</t>
  </si>
  <si>
    <t>MLB4585532693</t>
  </si>
  <si>
    <t>U3877615489</t>
  </si>
  <si>
    <t>DPX4311364548</t>
  </si>
  <si>
    <t>Dafu Esmalte Em Gel Cor 89 Uv Led</t>
  </si>
  <si>
    <t>427140819922835</t>
  </si>
  <si>
    <t>MLB4585536533</t>
  </si>
  <si>
    <t>U3888490654</t>
  </si>
  <si>
    <t>DPX1395557699</t>
  </si>
  <si>
    <t>Nanotecnologia Capilar A Jato Potencializador Eaê Cosmetico</t>
  </si>
  <si>
    <t>6482426444387217</t>
  </si>
  <si>
    <t>MLB4585536773</t>
  </si>
  <si>
    <t>U3877623527</t>
  </si>
  <si>
    <t>DPX7509334997</t>
  </si>
  <si>
    <t>Óleo De Argan Elixir 3d Eaê Cosméticos 100ml -</t>
  </si>
  <si>
    <t>6422282702888914</t>
  </si>
  <si>
    <t>MLB4585539919</t>
  </si>
  <si>
    <t>U3877630245</t>
  </si>
  <si>
    <t>DPX3607668013</t>
  </si>
  <si>
    <t>Pink 21 Lapis De Olho Retrátil Delineador Preto Precisão</t>
  </si>
  <si>
    <t>5616153026041296</t>
  </si>
  <si>
    <t>MLB4585544649</t>
  </si>
  <si>
    <t>U3877617197</t>
  </si>
  <si>
    <t>DPX8732427625</t>
  </si>
  <si>
    <t>Dafu Esmalte Em Gel Cor 92 Uv Led</t>
  </si>
  <si>
    <t>960421892941906</t>
  </si>
  <si>
    <t>MLB4585545091</t>
  </si>
  <si>
    <t>U3888483818</t>
  </si>
  <si>
    <t>DPX9908528069</t>
  </si>
  <si>
    <t>Real Love Gel 5 Nude Unhas 30ml Alongamento</t>
  </si>
  <si>
    <t>7980424463357906</t>
  </si>
  <si>
    <t>MLB4585545559</t>
  </si>
  <si>
    <t>U3877619445</t>
  </si>
  <si>
    <t>DPX2702115203</t>
  </si>
  <si>
    <t>Real Love Gel Solido Alongamento Powder Gel 15 Nude 15g</t>
  </si>
  <si>
    <t>4539278295713363</t>
  </si>
  <si>
    <t>MLB4585546913</t>
  </si>
  <si>
    <t>U3888488826</t>
  </si>
  <si>
    <t>DPX2616512383</t>
  </si>
  <si>
    <t>Mia Make Lip Oil Metalizado Bear - Maquiagem -</t>
  </si>
  <si>
    <t>8990504513433489</t>
  </si>
  <si>
    <t>MLB4585548797</t>
  </si>
  <si>
    <t>U3888492082</t>
  </si>
  <si>
    <t>DPX7972905152</t>
  </si>
  <si>
    <t>Paleta De Iliminador Bobbi Rara Ursinho Cor 1 -</t>
  </si>
  <si>
    <t>2345538198590097</t>
  </si>
  <si>
    <t>MLB4585557903</t>
  </si>
  <si>
    <t>U3888493644</t>
  </si>
  <si>
    <t>DPX4435890300</t>
  </si>
  <si>
    <t>Rofer Kit Progressiva Extreme Repair Blond 2x1l Anti Frizz</t>
  </si>
  <si>
    <t>5979054237202514</t>
  </si>
  <si>
    <t>MLB4585559107</t>
  </si>
  <si>
    <t>U3888497124</t>
  </si>
  <si>
    <t>DPX2686652522</t>
  </si>
  <si>
    <t>Lip Gloss Aumenta Volume Phállebeauty Pink Glow 4ml -</t>
  </si>
  <si>
    <t>1428289000058321</t>
  </si>
  <si>
    <t>MLB4585568267</t>
  </si>
  <si>
    <t>U3877652103</t>
  </si>
  <si>
    <t>DPX3474214656</t>
  </si>
  <si>
    <t>Sombra Para Sobrancelhas Duo Brow Perfection Ruby Rose -</t>
  </si>
  <si>
    <t>7411185944667599</t>
  </si>
  <si>
    <t>MLB4585568361</t>
  </si>
  <si>
    <t>U3877651339</t>
  </si>
  <si>
    <t>DPX3474214656VAR2</t>
  </si>
  <si>
    <t>Sombra Para Sobrancelhas Duo Brow Perfection  - Cor: 01 E 02</t>
  </si>
  <si>
    <t>4287659774389266</t>
  </si>
  <si>
    <t>MLB4585568561</t>
  </si>
  <si>
    <t>U3888518490</t>
  </si>
  <si>
    <t>DPX2065641657</t>
  </si>
  <si>
    <t>Paleta De Sombras Eyeshadow Sarah's Beauty 8 Cores Cor A -</t>
  </si>
  <si>
    <t>MLB4585572759</t>
  </si>
  <si>
    <t>4993914438914767</t>
  </si>
  <si>
    <t>MLB4585574129</t>
  </si>
  <si>
    <t>U3877650071</t>
  </si>
  <si>
    <t>DPX5255911484</t>
  </si>
  <si>
    <t>Dafu Esmalte Em Gel 10ml Cor M057 Uv Led</t>
  </si>
  <si>
    <t>4128489173875920</t>
  </si>
  <si>
    <t>MLB4585574885</t>
  </si>
  <si>
    <t>U3888515660</t>
  </si>
  <si>
    <t>DPX3820888875</t>
  </si>
  <si>
    <t>Gloss Aumenta Volume Labial Hidratante Big Mouth Gold 4ml</t>
  </si>
  <si>
    <t>6703651561929552</t>
  </si>
  <si>
    <t>MLB4585576061</t>
  </si>
  <si>
    <t>U3888520118</t>
  </si>
  <si>
    <t>DPX9515131779</t>
  </si>
  <si>
    <t>Máscara Cílios Incolor Nutri Lashes Cilios Sobrancelha Dap</t>
  </si>
  <si>
    <t>953974244963411</t>
  </si>
  <si>
    <t>MLB4585582067</t>
  </si>
  <si>
    <t>U3877666705</t>
  </si>
  <si>
    <t>DPX6890136646</t>
  </si>
  <si>
    <t>Real Love Gel Solido Alongamento Powder Gel 2 Nude 15g</t>
  </si>
  <si>
    <t>7622465443467473</t>
  </si>
  <si>
    <t>MLB4585584139</t>
  </si>
  <si>
    <t>U3877670021</t>
  </si>
  <si>
    <t>DPX3726003467</t>
  </si>
  <si>
    <t>Real Love Gel 21 Renda Milky 30ml Led Uv Profissional</t>
  </si>
  <si>
    <t>7749370640449870</t>
  </si>
  <si>
    <t>MLB4585587099</t>
  </si>
  <si>
    <t>U3888542368</t>
  </si>
  <si>
    <t>DPX2873197214</t>
  </si>
  <si>
    <t>Mini Cabine Led Uv Portátil Secagem Unhas Gel Estufa 18w Q5</t>
  </si>
  <si>
    <t>7994119320146002</t>
  </si>
  <si>
    <t>MLB4585588929</t>
  </si>
  <si>
    <t>U3877677651</t>
  </si>
  <si>
    <t>DPX1404436559</t>
  </si>
  <si>
    <t>Maranata Hair Kit Progressiva Extreme 1l Anti Frizz</t>
  </si>
  <si>
    <t>5882912073043601</t>
  </si>
  <si>
    <t>MLB4585593305</t>
  </si>
  <si>
    <t>U3888551912</t>
  </si>
  <si>
    <t>DPX4601977145</t>
  </si>
  <si>
    <t>Matizador Magic Blond Kaizen 500ml -</t>
  </si>
  <si>
    <t>3342421952661650</t>
  </si>
  <si>
    <t>MLB4585593693</t>
  </si>
  <si>
    <t>U3888553448</t>
  </si>
  <si>
    <t>DPX8850826768</t>
  </si>
  <si>
    <t>Kaizen Keratina Liquida 150ml Profissional</t>
  </si>
  <si>
    <t>3035221289072079</t>
  </si>
  <si>
    <t>MLB4585594091</t>
  </si>
  <si>
    <t>U3877688683</t>
  </si>
  <si>
    <t>DPX7345014180</t>
  </si>
  <si>
    <t>Mascara Mousse Nutrição Total Maranata Hair 1k -</t>
  </si>
  <si>
    <t>2541165622699664</t>
  </si>
  <si>
    <t>MLB4585596557</t>
  </si>
  <si>
    <t>U3888538428</t>
  </si>
  <si>
    <t>DPX7254659692</t>
  </si>
  <si>
    <t>Dafu Kit 5 Esmalte 3 Em 1 Tons De Cinza Uv Led</t>
  </si>
  <si>
    <t>2285515571674834</t>
  </si>
  <si>
    <t>MLB4585598839</t>
  </si>
  <si>
    <t>U3877675695</t>
  </si>
  <si>
    <t>DPX8945885562</t>
  </si>
  <si>
    <t>Pink 21 Lapis De Olho Retrátil Delineador Preto 1 Unidade F</t>
  </si>
  <si>
    <t>8720664575889040</t>
  </si>
  <si>
    <t>MLB4585599571</t>
  </si>
  <si>
    <t>U3888544426</t>
  </si>
  <si>
    <t>DPX9905458710</t>
  </si>
  <si>
    <t xml:space="preserve">Progressiva Orgânica De Quiabo Maranata Hair 1l Sem Formol </t>
  </si>
  <si>
    <t>3679014527744592</t>
  </si>
  <si>
    <t>MLB4585599987</t>
  </si>
  <si>
    <t>U3888544790</t>
  </si>
  <si>
    <t>DPX8545631501</t>
  </si>
  <si>
    <t>Kit Cronograma 3 Mascaras Mousse Maranata Hair 300g -</t>
  </si>
  <si>
    <t>8655288239706449</t>
  </si>
  <si>
    <t>MLB4585601521</t>
  </si>
  <si>
    <t>U3877682085</t>
  </si>
  <si>
    <t>DPX9977542839</t>
  </si>
  <si>
    <t>Sérum Blindagem Febella 3 Em 1 Transparente -</t>
  </si>
  <si>
    <t>299965354231635</t>
  </si>
  <si>
    <t>MLB4585602275</t>
  </si>
  <si>
    <t>U3888548002</t>
  </si>
  <si>
    <t>DPX2748710671</t>
  </si>
  <si>
    <t>Let Me Be Óleo Reparador Macadâmia Velvet Drops - 7ml -</t>
  </si>
  <si>
    <t>6059571679789200</t>
  </si>
  <si>
    <t>MLB4585602629</t>
  </si>
  <si>
    <t>U3877681947</t>
  </si>
  <si>
    <t>DPX7163036980</t>
  </si>
  <si>
    <t>Dafu Gel Construtor Unha Uv Led 15g Cor 5 Alongamento</t>
  </si>
  <si>
    <t>2968595617691728</t>
  </si>
  <si>
    <t>MLB4585603987</t>
  </si>
  <si>
    <t>U3888549420</t>
  </si>
  <si>
    <t>DPX6199725018</t>
  </si>
  <si>
    <t>Progressiva Plástica Capilar 4em1 Lisstreme 1l -</t>
  </si>
  <si>
    <t>6468147599444943</t>
  </si>
  <si>
    <t>MLB4585610065</t>
  </si>
  <si>
    <t>U3888550442</t>
  </si>
  <si>
    <t>DPX3477916477</t>
  </si>
  <si>
    <t>Let Me Be - Sem Formol Pro Repair Ultra Mask 1kg -</t>
  </si>
  <si>
    <t>8306838763712402</t>
  </si>
  <si>
    <t>MLB4585615419</t>
  </si>
  <si>
    <t>U3888560524</t>
  </si>
  <si>
    <t>DPX4876061965</t>
  </si>
  <si>
    <t>Protetor Térmico Perfect Smooth Maranata Hair 200ml -</t>
  </si>
  <si>
    <t>2886423520021395</t>
  </si>
  <si>
    <t>MLB4585620121</t>
  </si>
  <si>
    <t>U3888569006</t>
  </si>
  <si>
    <t>DPX8282465441</t>
  </si>
  <si>
    <t>Real Love Kit Gel Base Blindado + Refil Base 15ml + 10ml</t>
  </si>
  <si>
    <t>5010355763027793</t>
  </si>
  <si>
    <t>MLB4585624053</t>
  </si>
  <si>
    <t>U3877694983</t>
  </si>
  <si>
    <t>DPX7788340335</t>
  </si>
  <si>
    <t>Dafu Gel Unha Construtor Uv Led 15ml Alongamentos Light 3</t>
  </si>
  <si>
    <t>6243822905233999</t>
  </si>
  <si>
    <t>MLB4585624363</t>
  </si>
  <si>
    <t>U3877696833</t>
  </si>
  <si>
    <t>DPX9199089504</t>
  </si>
  <si>
    <t>Real Love Gel Unha Sculping Com Glitter Fibra Alongamentos</t>
  </si>
  <si>
    <t>95305626767442</t>
  </si>
  <si>
    <t>MLB4585626171</t>
  </si>
  <si>
    <t>U3877700321</t>
  </si>
  <si>
    <t>DPX6994086493</t>
  </si>
  <si>
    <t>Melhor Mascara Hidratante Profissional Liso Absoluto 250g -</t>
  </si>
  <si>
    <t>7117907234289426</t>
  </si>
  <si>
    <t>MLB4585630597</t>
  </si>
  <si>
    <t>U3888572408</t>
  </si>
  <si>
    <t>DPX1496400611</t>
  </si>
  <si>
    <t>Dafu Esmalte Em Gel 10ml Cor M075 Uv Led</t>
  </si>
  <si>
    <t>1642850264650003</t>
  </si>
  <si>
    <t>MLB4585630857</t>
  </si>
  <si>
    <t>U3877707491</t>
  </si>
  <si>
    <t>DPX7184702718</t>
  </si>
  <si>
    <t>Dafu Esmalte Em Gel 10ml Cor M060 Uv Led</t>
  </si>
  <si>
    <t>7709691525647119</t>
  </si>
  <si>
    <t>MLB4585631719</t>
  </si>
  <si>
    <t>U3888576440</t>
  </si>
  <si>
    <t>DPX2621127148</t>
  </si>
  <si>
    <t>Dafu Esmalte Em Gel 10ml Cor M051 Uv Led</t>
  </si>
  <si>
    <t>6626728168711951</t>
  </si>
  <si>
    <t>MLB4585632547</t>
  </si>
  <si>
    <t>U3888577284</t>
  </si>
  <si>
    <t>DPX3700305617</t>
  </si>
  <si>
    <t>Pincel Para Esfumar Makeup Look Dafu Pc14-11 -</t>
  </si>
  <si>
    <t>7264688591181776</t>
  </si>
  <si>
    <t>MLB4585646333</t>
  </si>
  <si>
    <t>U3877737215</t>
  </si>
  <si>
    <t>DPX1133166097</t>
  </si>
  <si>
    <t>Pincel Para Corretivo Makeup Look Dafu Pc14-8 -</t>
  </si>
  <si>
    <t>8975424337796048</t>
  </si>
  <si>
    <t>MLB4585647797</t>
  </si>
  <si>
    <t>U3877740595</t>
  </si>
  <si>
    <t>DPX2397069652</t>
  </si>
  <si>
    <t>Blush Bastão Stick 6 Lua Neve Maquiagem</t>
  </si>
  <si>
    <t>5179158278162769</t>
  </si>
  <si>
    <t>MLB4585659131</t>
  </si>
  <si>
    <t>U3888606160</t>
  </si>
  <si>
    <t>DPX5040025821</t>
  </si>
  <si>
    <t>Dafu Esmalte Em Gel Cor 39 Uv Led</t>
  </si>
  <si>
    <t>188587260679186</t>
  </si>
  <si>
    <t>MLB4585660087</t>
  </si>
  <si>
    <t>U3888607606</t>
  </si>
  <si>
    <t>DPX4109045789</t>
  </si>
  <si>
    <t>Dafu Esmalte Em Gel Cor 23 Uv Led</t>
  </si>
  <si>
    <t>8223854795826386</t>
  </si>
  <si>
    <t>MLB4585660765</t>
  </si>
  <si>
    <t>U3888610436</t>
  </si>
  <si>
    <t>DPX9353375373</t>
  </si>
  <si>
    <t>Serúm Facial Hidrantante Vitamina C Ludurana Refrescante To</t>
  </si>
  <si>
    <t>4821843472824273</t>
  </si>
  <si>
    <t>MLB4585664271</t>
  </si>
  <si>
    <t>U3877734439</t>
  </si>
  <si>
    <t>DPX5961933215</t>
  </si>
  <si>
    <t>Dafu Esmalte Em Gel Cor 65 Uv Led</t>
  </si>
  <si>
    <t>1996553144756434</t>
  </si>
  <si>
    <t>MLB4585665689</t>
  </si>
  <si>
    <t>U3888604218</t>
  </si>
  <si>
    <t>DPX3046795390</t>
  </si>
  <si>
    <t>Dafu Esmalte Em Gel Cor 46 Uv Led</t>
  </si>
  <si>
    <t>2100582415692883</t>
  </si>
  <si>
    <t>MLB4585667623</t>
  </si>
  <si>
    <t>U3877742489</t>
  </si>
  <si>
    <t>DPX3872909576</t>
  </si>
  <si>
    <t>Dafu Esmalte Em Gel Cor 22 Uv Led</t>
  </si>
  <si>
    <t>236414405950930</t>
  </si>
  <si>
    <t>MLB4585667973</t>
  </si>
  <si>
    <t>U3877744107</t>
  </si>
  <si>
    <t>DPX6850958575_VAR_01</t>
  </si>
  <si>
    <t>Lip Gloss Hidra Volume Vivai - Cor: 01</t>
  </si>
  <si>
    <t>7864847296035408</t>
  </si>
  <si>
    <t>MLB4585668659</t>
  </si>
  <si>
    <t>U3888610810</t>
  </si>
  <si>
    <t>DPX2979819860</t>
  </si>
  <si>
    <t>Mascara Facial Peel Off Total Black Dia Max Love -</t>
  </si>
  <si>
    <t>7281676674876624</t>
  </si>
  <si>
    <t>MLB4589575627</t>
  </si>
  <si>
    <t>U3887955980</t>
  </si>
  <si>
    <t>DPX1445740770</t>
  </si>
  <si>
    <t>Protetor Termico Capilar Vinagre De Maça Acidificante Eaê</t>
  </si>
  <si>
    <t>5563199284478672</t>
  </si>
  <si>
    <t>MLB4600362663</t>
  </si>
  <si>
    <t>U3902019610</t>
  </si>
  <si>
    <t>Let Me Be Cauter One 500ml Reconstrução Capilar Profissional</t>
  </si>
  <si>
    <t>MLB4600362785</t>
  </si>
  <si>
    <t>MLB4600386033</t>
  </si>
  <si>
    <t>MLB4601611011</t>
  </si>
  <si>
    <t>Batom Febella + Lápis Labial - Kit 2 Unidades - Cor: 03 Fúcsia</t>
  </si>
  <si>
    <t>MLB4601611219</t>
  </si>
  <si>
    <t>Blindagem 3 Em 1 Febella - Primer Diluidor E Fixador Transparente</t>
  </si>
  <si>
    <t>1937898055346257</t>
  </si>
  <si>
    <t>MLB4601611261</t>
  </si>
  <si>
    <t>U3887897970</t>
  </si>
  <si>
    <t>DPX9477899517</t>
  </si>
  <si>
    <t>Perfume De Calcinha Aromatizador Sensual Intense</t>
  </si>
  <si>
    <t>5738755940228497</t>
  </si>
  <si>
    <t>MLB4601611461</t>
  </si>
  <si>
    <t>U3887961776</t>
  </si>
  <si>
    <t>DPX5196457787</t>
  </si>
  <si>
    <t>Escova Profissional Sem Formol Let Me Be Passo Único 500ml</t>
  </si>
  <si>
    <t>1988039791540048</t>
  </si>
  <si>
    <t>MLB4601611479</t>
  </si>
  <si>
    <t>U3877130817</t>
  </si>
  <si>
    <t>DPX7498011111VAR6</t>
  </si>
  <si>
    <t>Base Matte Professional Make-up Miss Rose - Cor: 05</t>
  </si>
  <si>
    <t>6724592135454929</t>
  </si>
  <si>
    <t>MLB4601611501</t>
  </si>
  <si>
    <t>U3877119577</t>
  </si>
  <si>
    <t>DPX1532490134</t>
  </si>
  <si>
    <t>Condicionador Banho De Diamantes Felicity Professional 300ml</t>
  </si>
  <si>
    <t>MLB4601648783</t>
  </si>
  <si>
    <t>Base Liquida Matte Perfect Cover Vivai 30ml Cor:01 2</t>
  </si>
  <si>
    <t>MLB4601648813</t>
  </si>
  <si>
    <t>Pó Translucido Solto Facial Finalizador Febella</t>
  </si>
  <si>
    <t>MLB4601722237</t>
  </si>
  <si>
    <t>Decoraçao Para Unha Lacinho Branco Dafu</t>
  </si>
  <si>
    <t>985367754100048</t>
  </si>
  <si>
    <t>MLB4601722417</t>
  </si>
  <si>
    <t>U3887992260</t>
  </si>
  <si>
    <t>DPX8764075133</t>
  </si>
  <si>
    <t>Mask Hidratação Profunda Maranata Hair 200ml</t>
  </si>
  <si>
    <t>MLB4609148805</t>
  </si>
  <si>
    <t>Mascara De Cilios 4d 2 Em 1 Cs2338 Pink21</t>
  </si>
  <si>
    <t>2881530409469650</t>
  </si>
  <si>
    <t>MLB4609149497</t>
  </si>
  <si>
    <t>U3877740747</t>
  </si>
  <si>
    <t>DPX8785771866</t>
  </si>
  <si>
    <t>Blush Em Bastão Dropstok Para Um Acabamento Natural Vermelho</t>
  </si>
  <si>
    <t>MLB4609149719</t>
  </si>
  <si>
    <t>Kit Com 6 Mascara Tonalizante Marsala Felicity 500g Sem Tom</t>
  </si>
  <si>
    <t>3244959912338642</t>
  </si>
  <si>
    <t>MLB4609149827</t>
  </si>
  <si>
    <t>U3887892730</t>
  </si>
  <si>
    <t>DPX9029270709</t>
  </si>
  <si>
    <t>Kit Progressiva Extreme Repair Rofer Profissional 2x1l</t>
  </si>
  <si>
    <t>6815484167962705</t>
  </si>
  <si>
    <t>MLB4609300501</t>
  </si>
  <si>
    <t>U3888535390</t>
  </si>
  <si>
    <t>DPX4170696269</t>
  </si>
  <si>
    <t>Kit Definitiva Liso Chapado Plástica S/formol 1l Mirai</t>
  </si>
  <si>
    <t>MLB4609300631</t>
  </si>
  <si>
    <t>Broca De Cerâmica Profissional Unha Flame F Vermelho</t>
  </si>
  <si>
    <t>2872394773589139</t>
  </si>
  <si>
    <t>MLB4609300663</t>
  </si>
  <si>
    <t>U3877384443</t>
  </si>
  <si>
    <t>DPX2639786322</t>
  </si>
  <si>
    <t>Mascara Stick Febella Limpeza Facial Anti Acne Todo Tipo De Pele</t>
  </si>
  <si>
    <t>6217241970980623</t>
  </si>
  <si>
    <t>MLB4609300935</t>
  </si>
  <si>
    <t>U3888040874</t>
  </si>
  <si>
    <t>DPX5388576945</t>
  </si>
  <si>
    <t>Esmalte Em Gel Dafu 10ml Corm020 Rosa</t>
  </si>
  <si>
    <t>5700058055337682</t>
  </si>
  <si>
    <t>MLB4609300969</t>
  </si>
  <si>
    <t>U3877615681</t>
  </si>
  <si>
    <t>DPX4713291430</t>
  </si>
  <si>
    <t>Esmalte De Uñas Cor Dropstok Esmalte De 10ml De 1 Unidades Color Prateado</t>
  </si>
  <si>
    <t>4928599431997392</t>
  </si>
  <si>
    <t>MLB4621724471</t>
  </si>
  <si>
    <t>U3907088789</t>
  </si>
  <si>
    <t>DPX6308459098</t>
  </si>
  <si>
    <t>Kit C/4 Pó Cromado Real Love Nail Real Love -</t>
  </si>
  <si>
    <t>MLB4621725159</t>
  </si>
  <si>
    <t>807983190369809</t>
  </si>
  <si>
    <t>MLB4621726599</t>
  </si>
  <si>
    <t>U3907104013</t>
  </si>
  <si>
    <t>DPX4728945021</t>
  </si>
  <si>
    <t>Tesoura De Corte Dourada Dafu De Aço Inox -</t>
  </si>
  <si>
    <t>3515920177746706</t>
  </si>
  <si>
    <t>MLB4621727993</t>
  </si>
  <si>
    <t>U3907112429</t>
  </si>
  <si>
    <t>DPX7817274599</t>
  </si>
  <si>
    <t>Esmalte Em Gel Dafu 10ml Cor:m079 -</t>
  </si>
  <si>
    <t>5744887710154768</t>
  </si>
  <si>
    <t>MLB4621730659</t>
  </si>
  <si>
    <t>U3918607936</t>
  </si>
  <si>
    <t>DPX8751914793</t>
  </si>
  <si>
    <t>Esmalte Em Gel Dafu 10ml Cor:m059 -</t>
  </si>
  <si>
    <t>6646384816727824</t>
  </si>
  <si>
    <t>MLB4621731053</t>
  </si>
  <si>
    <t>U3918613264</t>
  </si>
  <si>
    <t>DPX6118590572</t>
  </si>
  <si>
    <t>Esmalte Em Gel Dafu 10ml Cor:m054 -</t>
  </si>
  <si>
    <t>5424152788752144</t>
  </si>
  <si>
    <t>MLB4621731351</t>
  </si>
  <si>
    <t>U3918615484</t>
  </si>
  <si>
    <t>DPX3508458053</t>
  </si>
  <si>
    <t>Esmalte Em Gel Dafu 10ml Cor:m044 -</t>
  </si>
  <si>
    <t>MLB4621732385</t>
  </si>
  <si>
    <t>U3918625582</t>
  </si>
  <si>
    <t>Esmalte Em Gel Dafu 10ml Cor:m020 -</t>
  </si>
  <si>
    <t>MLB4621732937</t>
  </si>
  <si>
    <t>U3907154003</t>
  </si>
  <si>
    <t>Esmalte Em Gel Dafu 10ml Cor:m016 -</t>
  </si>
  <si>
    <t>1626641552032337</t>
  </si>
  <si>
    <t>MLB4621733391</t>
  </si>
  <si>
    <t>U3907156559</t>
  </si>
  <si>
    <t>DPX9230619872</t>
  </si>
  <si>
    <t>Esmalte Em Gel Dafu 10ml Cor:m007 -</t>
  </si>
  <si>
    <t>5311029753692752</t>
  </si>
  <si>
    <t>MLB4621733525</t>
  </si>
  <si>
    <t>U3918636812</t>
  </si>
  <si>
    <t>Esmalte Em Gel Dafu 10ml Cor:m002 -</t>
  </si>
  <si>
    <t>1192595398721682</t>
  </si>
  <si>
    <t>MLB4621734497</t>
  </si>
  <si>
    <t>U3918639940</t>
  </si>
  <si>
    <t>DPX3477066151</t>
  </si>
  <si>
    <t>Esmalte Em Gel Dafu Nova Embalagem Cor 96 -</t>
  </si>
  <si>
    <t>2884894782033682</t>
  </si>
  <si>
    <t>MLB4621767091</t>
  </si>
  <si>
    <t>U3918617560</t>
  </si>
  <si>
    <t>DPX3734900728</t>
  </si>
  <si>
    <t>Esmalte Em Gel Dafu 10ml Cor:m041 -</t>
  </si>
  <si>
    <t>MLB4621767393</t>
  </si>
  <si>
    <t>U3918621754</t>
  </si>
  <si>
    <t>Esmalte Em Gel Dafu 10ml Cor:m030 -</t>
  </si>
  <si>
    <t>MLB4621767707</t>
  </si>
  <si>
    <t>U3907145895</t>
  </si>
  <si>
    <t>Esmalte Em Gel Dafu 10ml Cor:m025 -</t>
  </si>
  <si>
    <t>MLB4621768243</t>
  </si>
  <si>
    <t>U3918628696</t>
  </si>
  <si>
    <t>Esmalte Em Gel Dafu 10ml Cor:m019 -</t>
  </si>
  <si>
    <t>872309745340754</t>
  </si>
  <si>
    <t>MLB4621768727</t>
  </si>
  <si>
    <t>U3907154569</t>
  </si>
  <si>
    <t>DPX7038647898</t>
  </si>
  <si>
    <t>Esmalte Em Gel Dafu 10ml Cor:m013 -</t>
  </si>
  <si>
    <t>MLB4621768849</t>
  </si>
  <si>
    <t>U3918634222</t>
  </si>
  <si>
    <t>Esmalte Em Gel Dafu 10ml Cor:m012 -</t>
  </si>
  <si>
    <t>MLB4621769643</t>
  </si>
  <si>
    <t>8544753390219538</t>
  </si>
  <si>
    <t>MLB4621770327</t>
  </si>
  <si>
    <t>U3918641938</t>
  </si>
  <si>
    <t>DPX5072974790</t>
  </si>
  <si>
    <t>Pincel Para Esfumar Makeup Look Dafu Pc14-14 -</t>
  </si>
  <si>
    <t>1500966845413201</t>
  </si>
  <si>
    <t>MLB4621814673</t>
  </si>
  <si>
    <t>U3887887908</t>
  </si>
  <si>
    <t>DPX9256575987</t>
  </si>
  <si>
    <t>Pincel Para Sombra Makeup Look Dafu Pc14-13 -</t>
  </si>
  <si>
    <t>3774888091136273</t>
  </si>
  <si>
    <t>MLB4621815183</t>
  </si>
  <si>
    <t>U3918640596</t>
  </si>
  <si>
    <t>DPX1652422146</t>
  </si>
  <si>
    <t>Esmalte Em Gel Dafu Nova Embalagem Cor 97 -</t>
  </si>
  <si>
    <t>2776538642139537</t>
  </si>
  <si>
    <t>MLB4621815471</t>
  </si>
  <si>
    <t>U3918642966</t>
  </si>
  <si>
    <t>DPX7601066289</t>
  </si>
  <si>
    <t>Esmalte Em Gel Dafu Nova Embalagem Cor 95 -</t>
  </si>
  <si>
    <t>4049695435579152</t>
  </si>
  <si>
    <t>MLB4622415533</t>
  </si>
  <si>
    <t>U3907575645</t>
  </si>
  <si>
    <t>DPX8628606995</t>
  </si>
  <si>
    <t>Esmalte Em Gel Dafu Nova Embalagem Cor 49 -</t>
  </si>
  <si>
    <t>7323847166322000</t>
  </si>
  <si>
    <t>MLB4622415705</t>
  </si>
  <si>
    <t>U3919061300</t>
  </si>
  <si>
    <t>DPX3228931144</t>
  </si>
  <si>
    <t>Esmalte Em Gel Dafu Nova Embalagem Cor 44 -</t>
  </si>
  <si>
    <t>994421451360403</t>
  </si>
  <si>
    <t>MLB4622415733</t>
  </si>
  <si>
    <t>U3907584339</t>
  </si>
  <si>
    <t>DPX4285406013</t>
  </si>
  <si>
    <t>Esmalte Em Gel Dafu Nova Embalagem Cor 43 -</t>
  </si>
  <si>
    <t>MLB4622415895</t>
  </si>
  <si>
    <t>U3907585867</t>
  </si>
  <si>
    <t>Esmalte Em Gel 3 Em 1 - 10ml Dafu Cor:11 -</t>
  </si>
  <si>
    <t>5264265336975378</t>
  </si>
  <si>
    <t>MLB4622416803</t>
  </si>
  <si>
    <t>U3907596163</t>
  </si>
  <si>
    <t>DPX3123168224</t>
  </si>
  <si>
    <t>Esmalte Em Gel 3 Em 1 - 10ml Dafu Cor:06 -</t>
  </si>
  <si>
    <t>693761350385233</t>
  </si>
  <si>
    <t>MLB4622417157</t>
  </si>
  <si>
    <t>U3919075454</t>
  </si>
  <si>
    <t>DPX9459567592</t>
  </si>
  <si>
    <t>Esmalte Em Gel 3 Em 1 - 10ml Dafu Cor:03 -</t>
  </si>
  <si>
    <t>7567013212171984</t>
  </si>
  <si>
    <t>MLB4622420779</t>
  </si>
  <si>
    <t>U3907650709</t>
  </si>
  <si>
    <t>DPX8743024002</t>
  </si>
  <si>
    <t>Esmalte Em Gel Dafu Nova Embalagem - Cor: 19 -</t>
  </si>
  <si>
    <t>Frete grátis por conta própria</t>
  </si>
  <si>
    <t>MLB4622421727</t>
  </si>
  <si>
    <t>U3907657587</t>
  </si>
  <si>
    <t>Blush Bastão Stick 05 Lua Neve -</t>
  </si>
  <si>
    <t>6008853069676625</t>
  </si>
  <si>
    <t>MLB4622422579</t>
  </si>
  <si>
    <t>U3907667747</t>
  </si>
  <si>
    <t>DPX3531286173</t>
  </si>
  <si>
    <t>Esmalte Em Gel Dafu Nova Embalagem Cor:05 -</t>
  </si>
  <si>
    <t>1277086482163601</t>
  </si>
  <si>
    <t>MLB4622422789</t>
  </si>
  <si>
    <t>U3907672655</t>
  </si>
  <si>
    <t>DPX7356351353</t>
  </si>
  <si>
    <t>Esmalte Em Gel Dafu Nova Embalagem Cor:03 -</t>
  </si>
  <si>
    <t>2362202100956883</t>
  </si>
  <si>
    <t>MLB4622423073</t>
  </si>
  <si>
    <t>U3887900208</t>
  </si>
  <si>
    <t>DPX4601994026</t>
  </si>
  <si>
    <t>Pincel Para Sombra Rosa Dafu Pc04-7 É Ideal Para Aplicaçã</t>
  </si>
  <si>
    <t>7320570671760</t>
  </si>
  <si>
    <t>MLB4622423335</t>
  </si>
  <si>
    <t>U3877026477</t>
  </si>
  <si>
    <t>DPX6325561288VAR3</t>
  </si>
  <si>
    <t>Paleta De Sombra Morning Glory Labranche - Cor: B</t>
  </si>
  <si>
    <t>MLB4622542623</t>
  </si>
  <si>
    <t>U3907594085</t>
  </si>
  <si>
    <t>Esmalte Em Gel 3 Em 1 - 10ml Dafu Cor:08 -</t>
  </si>
  <si>
    <t>8790463208584847</t>
  </si>
  <si>
    <t>MLB4622542741</t>
  </si>
  <si>
    <t>U3907594525</t>
  </si>
  <si>
    <t>DPX5109321576</t>
  </si>
  <si>
    <t>Esmalte Em Gel Dafu Nova Embalagem Cor 34 -</t>
  </si>
  <si>
    <t>MLB4622543213</t>
  </si>
  <si>
    <t>U3919074922</t>
  </si>
  <si>
    <t>Esmalte Em Gel 3 Em 1 - 10ml Dafu Cor:04 -</t>
  </si>
  <si>
    <t>MLB4622543731</t>
  </si>
  <si>
    <t>U3907600801</t>
  </si>
  <si>
    <t>Esmalte Em Gel 3 Em 1 - 10ml Dafu Cor:01 -</t>
  </si>
  <si>
    <t>MLB4622547805</t>
  </si>
  <si>
    <t>U3919138858</t>
  </si>
  <si>
    <t>Blush Bastão Stick 06 Lua Neve -</t>
  </si>
  <si>
    <t>2444011719288720</t>
  </si>
  <si>
    <t>MLB4622548025</t>
  </si>
  <si>
    <t>U3919140064</t>
  </si>
  <si>
    <t>DPX7987153451</t>
  </si>
  <si>
    <t>Blush Bastão Stick 04 Lua Neve -</t>
  </si>
  <si>
    <t>4760340706773776</t>
  </si>
  <si>
    <t>MLB4622548555</t>
  </si>
  <si>
    <t>U3919145930</t>
  </si>
  <si>
    <t>DPX6288723632</t>
  </si>
  <si>
    <t>Blush Bastão Stick 02 Lua Neve -</t>
  </si>
  <si>
    <t>5456322210301074</t>
  </si>
  <si>
    <t>MLB4622554423</t>
  </si>
  <si>
    <t>U3907750557</t>
  </si>
  <si>
    <t>DPX3332167744</t>
  </si>
  <si>
    <t>Lip Tower Matte Viva Vida Vivai -</t>
  </si>
  <si>
    <t>MLB4622555107</t>
  </si>
  <si>
    <t>8077576880712784</t>
  </si>
  <si>
    <t>MLB4622555489</t>
  </si>
  <si>
    <t>U3907762461</t>
  </si>
  <si>
    <t>DPX4104153835</t>
  </si>
  <si>
    <t>Paleta De Sombra Coraçao A Bobbi Rara 02 -</t>
  </si>
  <si>
    <t>7209678303056272</t>
  </si>
  <si>
    <t>MLB4622673023</t>
  </si>
  <si>
    <t>U3919152842</t>
  </si>
  <si>
    <t>DPX1150386148</t>
  </si>
  <si>
    <t>Pó Translucido Classic Sp Colors -</t>
  </si>
  <si>
    <t>MLB4622673409</t>
  </si>
  <si>
    <t>MLB4622673411</t>
  </si>
  <si>
    <t>7355111360020688</t>
  </si>
  <si>
    <t>MLB4622678367</t>
  </si>
  <si>
    <t>U3907750575</t>
  </si>
  <si>
    <t>DPX3332167744VAR3</t>
  </si>
  <si>
    <t>Lip Tower Matte Viva Vida Vivai - Cor: 02</t>
  </si>
  <si>
    <t>8940297059995855</t>
  </si>
  <si>
    <t>MLB4622679785</t>
  </si>
  <si>
    <t>U3907766665</t>
  </si>
  <si>
    <t>DPX9268273127</t>
  </si>
  <si>
    <t>Quarteto De Blush- Tons Rosados - Ludurana -</t>
  </si>
  <si>
    <t>3823659969658577</t>
  </si>
  <si>
    <t>MLB4622680367</t>
  </si>
  <si>
    <t>U3919249658</t>
  </si>
  <si>
    <t>DPX6079050204</t>
  </si>
  <si>
    <t>Quarteto De Sombra Ludurana Rosa Matte -</t>
  </si>
  <si>
    <t>7143671462093008</t>
  </si>
  <si>
    <t>MLB4622681893</t>
  </si>
  <si>
    <t>U3919269238</t>
  </si>
  <si>
    <t>DPX2170819739</t>
  </si>
  <si>
    <t>Decoração De Unha Cereja Dourado Ou Prata Dafu -</t>
  </si>
  <si>
    <t>2497395077011472</t>
  </si>
  <si>
    <t>MLB4622682259</t>
  </si>
  <si>
    <t>U3907796535</t>
  </si>
  <si>
    <t>DPX4551710968</t>
  </si>
  <si>
    <t>Blush Neon Selva Miss Rose -</t>
  </si>
  <si>
    <t>MLB4622682315</t>
  </si>
  <si>
    <t>MLB4622682349</t>
  </si>
  <si>
    <t>U3907801973</t>
  </si>
  <si>
    <t>Base Stick Media Alta Cobertura Miss Rose - Cor: N03</t>
  </si>
  <si>
    <t>MLB4622684577</t>
  </si>
  <si>
    <t>U3907822155</t>
  </si>
  <si>
    <t>6630177085377170</t>
  </si>
  <si>
    <t>MLB4622685105</t>
  </si>
  <si>
    <t>U3907828997</t>
  </si>
  <si>
    <t>DPX9575147024</t>
  </si>
  <si>
    <t>Gloss Labial Volume Phallebeauty Incolor Hidratação Ácido</t>
  </si>
  <si>
    <t>3032825864061329</t>
  </si>
  <si>
    <t>MLB4622741415</t>
  </si>
  <si>
    <t>U3877498451</t>
  </si>
  <si>
    <t>DPX3739456556</t>
  </si>
  <si>
    <t>Paleta Quarteto De Blush Ludurana 4 Cores Matte Vegano -</t>
  </si>
  <si>
    <t>8000050762873618</t>
  </si>
  <si>
    <t>MLB4622741885</t>
  </si>
  <si>
    <t>U3919247602</t>
  </si>
  <si>
    <t>DPX7358499683</t>
  </si>
  <si>
    <t>Quarteto De Sombra Ludurana Laranja Matte -</t>
  </si>
  <si>
    <t>3260045350245139</t>
  </si>
  <si>
    <t>MLB4622742781</t>
  </si>
  <si>
    <t>U3907776961</t>
  </si>
  <si>
    <t>DPX2265293873</t>
  </si>
  <si>
    <t>Lip Tint Metálico Vermelho 532 Max Love Longa Duração -</t>
  </si>
  <si>
    <t>Vermelho</t>
  </si>
  <si>
    <t>MLB4622743503</t>
  </si>
  <si>
    <t>U3907783179</t>
  </si>
  <si>
    <t>MLB4622743745</t>
  </si>
  <si>
    <t>U3919268790</t>
  </si>
  <si>
    <t>Blush Compacto Pro Face Griffty -</t>
  </si>
  <si>
    <t>5064723822581903</t>
  </si>
  <si>
    <t>MLB4622743857</t>
  </si>
  <si>
    <t>U3919271034</t>
  </si>
  <si>
    <t>DPX2904411582</t>
  </si>
  <si>
    <t>Kit De Maquiagem Iluminador,sombra E Blush Wike Make -</t>
  </si>
  <si>
    <t>8239090516572817</t>
  </si>
  <si>
    <t>MLB4622745787</t>
  </si>
  <si>
    <t>U3907817121</t>
  </si>
  <si>
    <t>DPX2941255141</t>
  </si>
  <si>
    <t>Cola Para Cílios Postiços Pro Prova D Água Preta Lua E Ne</t>
  </si>
  <si>
    <t>3690142418354448</t>
  </si>
  <si>
    <t>MLB4622746211</t>
  </si>
  <si>
    <t>U3919300684</t>
  </si>
  <si>
    <t>DPX3994962972</t>
  </si>
  <si>
    <t>Pó Compacto Facial Translucido Matte Leite De Coco Dapop -</t>
  </si>
  <si>
    <t>2480231826911891</t>
  </si>
  <si>
    <t>MLB4622747111</t>
  </si>
  <si>
    <t>U3888239396</t>
  </si>
  <si>
    <t>DPX6461397530VAR2</t>
  </si>
  <si>
    <t>Twinkle Touch Sombra Iluminador 2 Em 1 Pi - Cor: Golden Daze</t>
  </si>
  <si>
    <t>8525339233111184</t>
  </si>
  <si>
    <t>MLB4622747471</t>
  </si>
  <si>
    <t>U3919312944</t>
  </si>
  <si>
    <t>DPX3896515174VAR6</t>
  </si>
  <si>
    <t>Pomada Para Sobrancelhas Ruby Rose Extra Brow - Cor: Umber</t>
  </si>
  <si>
    <t>Marrom</t>
  </si>
  <si>
    <t>MLB4622747677</t>
  </si>
  <si>
    <t>U3907832201</t>
  </si>
  <si>
    <t>Base Stick Bastão Cremoso Perfect Blend By Ruby  - Cor: Fs4</t>
  </si>
  <si>
    <t>8838632647000848</t>
  </si>
  <si>
    <t>MLB4622747681</t>
  </si>
  <si>
    <t>U3888389702</t>
  </si>
  <si>
    <t>DPX6999757997VAR4</t>
  </si>
  <si>
    <t>Base Stick Bastão Cremoso Perfect Blend By Ruby  - Cor: Fs3</t>
  </si>
  <si>
    <t>2287794584140240</t>
  </si>
  <si>
    <t>MLB4622749295</t>
  </si>
  <si>
    <t>U3888237736</t>
  </si>
  <si>
    <t>DPX9441919985</t>
  </si>
  <si>
    <t>Paleta De Sombras Eyeshadow Sarah's Beauty 8 Cores Cor:c -</t>
  </si>
  <si>
    <t>5827599014814417</t>
  </si>
  <si>
    <t>MLB4622749735</t>
  </si>
  <si>
    <t>U3907853053</t>
  </si>
  <si>
    <t>DPX3109759246</t>
  </si>
  <si>
    <t xml:space="preserve">Máscara Rímel Cílios Ruby Rose Trópico Power Volume Cor </t>
  </si>
  <si>
    <t>5166912581384081</t>
  </si>
  <si>
    <t>MLB4623207637</t>
  </si>
  <si>
    <t>U3919507176</t>
  </si>
  <si>
    <t>DPX4822585547</t>
  </si>
  <si>
    <t>Pó Solto Lilac Blur - Dapop -</t>
  </si>
  <si>
    <t>1572089613681363</t>
  </si>
  <si>
    <t>MLB4623423313</t>
  </si>
  <si>
    <t>U3908180249</t>
  </si>
  <si>
    <t>DPX4893624944</t>
  </si>
  <si>
    <t>Mascara De Cilios Marrom Max Volume Express Vivai -</t>
  </si>
  <si>
    <t>741848840272530</t>
  </si>
  <si>
    <t>MLB4623476023</t>
  </si>
  <si>
    <t>U3919697622</t>
  </si>
  <si>
    <t>DPX6448122797</t>
  </si>
  <si>
    <t>Gel De Alongamento De Unhas Transparente 01 Real Love 30ml -</t>
  </si>
  <si>
    <t>MLB4623477271</t>
  </si>
  <si>
    <t>U3908206629</t>
  </si>
  <si>
    <t>Gel Real Love 05 Nude Para Unhas 30ml -</t>
  </si>
  <si>
    <t>2812722686589970</t>
  </si>
  <si>
    <t>MLB4623497537</t>
  </si>
  <si>
    <t>U3908195845</t>
  </si>
  <si>
    <t>DPX5541070094</t>
  </si>
  <si>
    <t>Gel De Alongamento 15 Mamão Linha Light Aromatizado 15ml -</t>
  </si>
  <si>
    <t>05 - Gel Aromatizado - Maçã</t>
  </si>
  <si>
    <t>6172506642167954</t>
  </si>
  <si>
    <t>MLB4623501347</t>
  </si>
  <si>
    <t>U3908211017</t>
  </si>
  <si>
    <t>DPX2395773171</t>
  </si>
  <si>
    <t>Gel De Alongamento - Glitter 16 Nude Real Love 15g</t>
  </si>
  <si>
    <t>MLB4623585635</t>
  </si>
  <si>
    <t>U3908253709</t>
  </si>
  <si>
    <t>Kit 4 Esmalte Em Gel Nova Embalagem Tons De Rosa 10ml Dafu -</t>
  </si>
  <si>
    <t>6630933587239251</t>
  </si>
  <si>
    <t>MLB4623585751</t>
  </si>
  <si>
    <t>U3908256155</t>
  </si>
  <si>
    <t>DPX5487846264</t>
  </si>
  <si>
    <t>Kit 4 Esmalte Em Gel Nova Embalagem Tons De Verde 10ml Dafu</t>
  </si>
  <si>
    <t>MLB4623587563</t>
  </si>
  <si>
    <t>U3908270715</t>
  </si>
  <si>
    <t>Kit Esmaltes Em Gel Tons De Vermelho E Vinho Dafu -</t>
  </si>
  <si>
    <t>2332847997819473</t>
  </si>
  <si>
    <t>MLB4623593625</t>
  </si>
  <si>
    <t>U3908306519</t>
  </si>
  <si>
    <t>Sortido (amarelo, Rosa, Azul)</t>
  </si>
  <si>
    <t>2715443039951248</t>
  </si>
  <si>
    <t>MLB4623635227</t>
  </si>
  <si>
    <t>U3919772346</t>
  </si>
  <si>
    <t>DPX7541541545</t>
  </si>
  <si>
    <t>Kit Esmaltes Em Gel Tons De Marrons Preto E Branco Dafu -</t>
  </si>
  <si>
    <t>8438703110279886</t>
  </si>
  <si>
    <t>MLB4623640189</t>
  </si>
  <si>
    <t>U3919801334</t>
  </si>
  <si>
    <t>DPX9965718305</t>
  </si>
  <si>
    <t>2 Touca Nero Cabelo - Barra Dormir Alisa Cabelo Trança Wi</t>
  </si>
  <si>
    <t>8836446435101263</t>
  </si>
  <si>
    <t>MLB4623651969</t>
  </si>
  <si>
    <t>U3919835890</t>
  </si>
  <si>
    <t>DPX1867168762</t>
  </si>
  <si>
    <t>6 Presilhas P Curvatura C Para Unhas Postiças Gel Acrygel -</t>
  </si>
  <si>
    <t>8760327441749520</t>
  </si>
  <si>
    <t>MLB4623661469</t>
  </si>
  <si>
    <t>U3908330407</t>
  </si>
  <si>
    <t>DPX9828854753</t>
  </si>
  <si>
    <t>Kit 6 Presilhas Grampo Metal Unhas Curvatura C Tamanho Médi</t>
  </si>
  <si>
    <t>MLB4631408207</t>
  </si>
  <si>
    <t>MLB4631408417</t>
  </si>
  <si>
    <t>Esmalte Em Gel Nova Embalagem - Dafu Cor:10 Nude</t>
  </si>
  <si>
    <t>MLB4631438725</t>
  </si>
  <si>
    <t>Pó Solto Translucido Facial Sinta-se Miss Rose</t>
  </si>
  <si>
    <t>MLB4631438919</t>
  </si>
  <si>
    <t>Dafu Esmalte Em Gel 3 Em 1 10ml Cor 20 Uv Led Marrom-escuro</t>
  </si>
  <si>
    <t>MLB4631439693</t>
  </si>
  <si>
    <t>Esmalte Em Gel Dafu 10ml Corm016</t>
  </si>
  <si>
    <t>MLB4631439725</t>
  </si>
  <si>
    <t>Esmalte De Uñas Cor Dropstok Esmalte De 1 Unidades Color Nude</t>
  </si>
  <si>
    <t>MLB4631439933</t>
  </si>
  <si>
    <t>Blush Bastão Stick 06 Lua Neve Vermelho</t>
  </si>
  <si>
    <t>3847220369647248</t>
  </si>
  <si>
    <t>MLB4631440143</t>
  </si>
  <si>
    <t>U3888035248</t>
  </si>
  <si>
    <t>DPX5310997471</t>
  </si>
  <si>
    <t>Esmalte Em Gel 3 Em 1 Real Love - 5ml Cor 01 - Cor 02 Branco</t>
  </si>
  <si>
    <t>MLB4631442253</t>
  </si>
  <si>
    <t>Máscara Rímel Cílios Ruby Rose Trópico Power Volume Cor Preto</t>
  </si>
  <si>
    <t>8681996621196751</t>
  </si>
  <si>
    <t>MLB4631442957</t>
  </si>
  <si>
    <t>U3907991449</t>
  </si>
  <si>
    <t>Caneta Delineadora Love Rain 2 In 1 Eyeliner Verde-claro</t>
  </si>
  <si>
    <t>MLB4631443641</t>
  </si>
  <si>
    <t>Lapis De Olho Retrátil Delineador Pink 21 Preto</t>
  </si>
  <si>
    <t>MLB4631444317</t>
  </si>
  <si>
    <t>U3888398310</t>
  </si>
  <si>
    <t>Blush Neon Selva Miss Rose</t>
  </si>
  <si>
    <t>MLB4631446245</t>
  </si>
  <si>
    <t>7208379503461585</t>
  </si>
  <si>
    <t>MLB4631446395</t>
  </si>
  <si>
    <t>U3877069341</t>
  </si>
  <si>
    <t>DPX3087624307</t>
  </si>
  <si>
    <t>Iluminador Corporal Iluminador Facial Pó De Fada C/aplicado Branco</t>
  </si>
  <si>
    <t>960064903270164</t>
  </si>
  <si>
    <t>MLB4631446825</t>
  </si>
  <si>
    <t>U3888007188</t>
  </si>
  <si>
    <t>DPX5683620924VAR5</t>
  </si>
  <si>
    <t>Corretivo Matte Lua&amp;neve - Cor: 03 Bege</t>
  </si>
  <si>
    <t>6632857886245265</t>
  </si>
  <si>
    <t>MLB4635366649</t>
  </si>
  <si>
    <t>U3877502467</t>
  </si>
  <si>
    <t>DPX7687562661</t>
  </si>
  <si>
    <t>Paleta De Sombras Choco Cream Ludurana Marrom</t>
  </si>
  <si>
    <t>3037724193764371</t>
  </si>
  <si>
    <t>MLB6568798006</t>
  </si>
  <si>
    <t>U3876816435</t>
  </si>
  <si>
    <t>DPX7750581941</t>
  </si>
  <si>
    <t>Real Love Gel Base Blindado Light 15ml Profissional</t>
  </si>
  <si>
    <t>7175850630402642</t>
  </si>
  <si>
    <t>MLB6568845546</t>
  </si>
  <si>
    <t>U3887739360</t>
  </si>
  <si>
    <t>DPX8253703865</t>
  </si>
  <si>
    <t>Touca Romana Para Mechas De Silicone Black Katy Profissional</t>
  </si>
  <si>
    <t>6044162347705616</t>
  </si>
  <si>
    <t>MLB6568856338</t>
  </si>
  <si>
    <t>U3876898185</t>
  </si>
  <si>
    <t>DPX9054732898</t>
  </si>
  <si>
    <t>Kit C/4 Pinceis De Maquiagem Makeup Cristal Luxe Dafu -</t>
  </si>
  <si>
    <t>1390738285324116</t>
  </si>
  <si>
    <t>MLB6568915416</t>
  </si>
  <si>
    <t>U3887887626</t>
  </si>
  <si>
    <t>DPX8649857986</t>
  </si>
  <si>
    <t>Real Love Kit 5 Refil Top Coat Light 10ml Uv Led</t>
  </si>
  <si>
    <t>7814710206350610</t>
  </si>
  <si>
    <t>MLB6568917764</t>
  </si>
  <si>
    <t>U3877009621</t>
  </si>
  <si>
    <t>DPX7579985166</t>
  </si>
  <si>
    <t>Real Love Base Em Gel Light 8ml Capa Base Uv Led</t>
  </si>
  <si>
    <t>MLB6568920758</t>
  </si>
  <si>
    <t>MLB6568921986</t>
  </si>
  <si>
    <t>Rofer Kit Progressiva Extreme Repair 2x1l Anti Frizz</t>
  </si>
  <si>
    <t>5242859337695570</t>
  </si>
  <si>
    <t>MLB6568922432</t>
  </si>
  <si>
    <t>U3887893510</t>
  </si>
  <si>
    <t>DPX2527975388</t>
  </si>
  <si>
    <t>Kit Maracujá Do Amor 2 Passos Reconstrução Eae Cosmeticos</t>
  </si>
  <si>
    <t>8627481195234959</t>
  </si>
  <si>
    <t>MLB6568925142</t>
  </si>
  <si>
    <t>U3887906318</t>
  </si>
  <si>
    <t>DPX8800880172</t>
  </si>
  <si>
    <t>Top Coat Para Unhas Linha Start 10ml - Real Love -</t>
  </si>
  <si>
    <t>4016580750249167</t>
  </si>
  <si>
    <t>MLB6568925626</t>
  </si>
  <si>
    <t>U3887905098</t>
  </si>
  <si>
    <t>DPX4772824090</t>
  </si>
  <si>
    <t>Kit Escova Organica De Quiabo 0% Formol Maranata 2x1l</t>
  </si>
  <si>
    <t>2085549698250003</t>
  </si>
  <si>
    <t>MLB6568927404</t>
  </si>
  <si>
    <t>U3887912462</t>
  </si>
  <si>
    <t>DPX9280487578</t>
  </si>
  <si>
    <t>Dafu Gel Construtor Alongamento Unha Uv Led 2 Alongamento</t>
  </si>
  <si>
    <t>5455922510225618</t>
  </si>
  <si>
    <t>MLB6568943876</t>
  </si>
  <si>
    <t>U3887889284</t>
  </si>
  <si>
    <t>DPX7546440419</t>
  </si>
  <si>
    <t>Máscara De Cílios Belle Angel Super Volume Preta -</t>
  </si>
  <si>
    <t>7920267881458575</t>
  </si>
  <si>
    <t>MLB6568944186</t>
  </si>
  <si>
    <t>U3887889614</t>
  </si>
  <si>
    <t>DPX6325561288VAR2</t>
  </si>
  <si>
    <t>Paleta De Sombra Morning Glory Labranche - Cor: A</t>
  </si>
  <si>
    <t>MLB6568945462</t>
  </si>
  <si>
    <t>Perfume De Calcinha Aromatizador Sensual Anti Odor Intense -</t>
  </si>
  <si>
    <t>7454973321005135</t>
  </si>
  <si>
    <t>MLB6568950006</t>
  </si>
  <si>
    <t>U3877044857</t>
  </si>
  <si>
    <t>DPX8718243433</t>
  </si>
  <si>
    <t>Mascara De Cilios Ruby Rose Melu Peel Off A Sua... Cor Selfi</t>
  </si>
  <si>
    <t>1097565320802641</t>
  </si>
  <si>
    <t>MLB6568950162</t>
  </si>
  <si>
    <t>U3877047317</t>
  </si>
  <si>
    <t>DPX8199661540</t>
  </si>
  <si>
    <t>Real Love Kit Top Coat + Gel Base Start 2x10ml Uv Led</t>
  </si>
  <si>
    <t>2881794505760016</t>
  </si>
  <si>
    <t>MLB6568950582</t>
  </si>
  <si>
    <t>U3887911262</t>
  </si>
  <si>
    <t>DPX8553882203</t>
  </si>
  <si>
    <t xml:space="preserve">Máscara Capilar Ácido Hialurônico Hidratação Intensiva </t>
  </si>
  <si>
    <t>8996774407696912</t>
  </si>
  <si>
    <t>MLB6568951086</t>
  </si>
  <si>
    <t>U3887915078</t>
  </si>
  <si>
    <t>DPX3601575292VAR16</t>
  </si>
  <si>
    <t>Esmalte Em Gel Glitter Refletivo - Real Love - Cor: 15</t>
  </si>
  <si>
    <t>4028753876004755</t>
  </si>
  <si>
    <t>MLB6568951712</t>
  </si>
  <si>
    <t>U3877052199</t>
  </si>
  <si>
    <t>DPX9875102692</t>
  </si>
  <si>
    <t>Esmalte Em Gel Magnético Tons Marrons Efeito Olho De Gato</t>
  </si>
  <si>
    <t>6839422880631633</t>
  </si>
  <si>
    <t>MLB6568951958</t>
  </si>
  <si>
    <t>U3877049465</t>
  </si>
  <si>
    <t>DPX8102996634</t>
  </si>
  <si>
    <t>Real Love Gel Construtor Glitter 2 Pink Nude Alongamento</t>
  </si>
  <si>
    <t>1841996213661392</t>
  </si>
  <si>
    <t>MLB6568952178</t>
  </si>
  <si>
    <t>U3877054645</t>
  </si>
  <si>
    <t>DPX3039684505</t>
  </si>
  <si>
    <t>Refil Base Em Gel Linha Light 10ml - Real Love -</t>
  </si>
  <si>
    <t>7663785294085713</t>
  </si>
  <si>
    <t>MLB6568952402</t>
  </si>
  <si>
    <t>U3877054957</t>
  </si>
  <si>
    <t>DPX4291570751VAR5</t>
  </si>
  <si>
    <t>Batom Febella + Lápis Labial - Kit 2 Unidades - Cor: 04</t>
  </si>
  <si>
    <t>5292998627199122</t>
  </si>
  <si>
    <t>MLB6568952414</t>
  </si>
  <si>
    <t>U3887916132</t>
  </si>
  <si>
    <t>DPX4291570751VAR2</t>
  </si>
  <si>
    <t>Batom Febella + Lápis Labial - Kit 2 Unidades - Cor: 01</t>
  </si>
  <si>
    <t>MLB6568954502</t>
  </si>
  <si>
    <t>6699173294924751</t>
  </si>
  <si>
    <t>MLB6568956002</t>
  </si>
  <si>
    <t>U3887907604</t>
  </si>
  <si>
    <t>DPX7202665026</t>
  </si>
  <si>
    <t>Refil 4 De Gel Para Unhas Esculpidas Real Love 15ml Nude -</t>
  </si>
  <si>
    <t>1117210282284945</t>
  </si>
  <si>
    <t>MLB6568957594</t>
  </si>
  <si>
    <t>U3887911772</t>
  </si>
  <si>
    <t>DPX8318725857</t>
  </si>
  <si>
    <t>Lâminas Navalha Sobrancelha Rosto Depilação Kit 6un Precisão</t>
  </si>
  <si>
    <t>2136481631500370</t>
  </si>
  <si>
    <t>MLB6568957854</t>
  </si>
  <si>
    <t>U3877048261</t>
  </si>
  <si>
    <t>DPX3601575292VAR14</t>
  </si>
  <si>
    <t>Esmalte Em Gel Glitter Refletivo - Real Love - Cor: 13</t>
  </si>
  <si>
    <t>892187377782033</t>
  </si>
  <si>
    <t>MLB6568957880</t>
  </si>
  <si>
    <t>U3887913264</t>
  </si>
  <si>
    <t>DPX3601575292VAR6</t>
  </si>
  <si>
    <t>Esmalte Em Gel Glitter Refletivo - Real Love - Cor: 05</t>
  </si>
  <si>
    <t>536194253046867</t>
  </si>
  <si>
    <t>MLB6568957892</t>
  </si>
  <si>
    <t>U3887915138</t>
  </si>
  <si>
    <t>DPX3601575292VAR5</t>
  </si>
  <si>
    <t>Esmalte Em Gel Glitter Refletivo - Real Love - Cor: 04</t>
  </si>
  <si>
    <t>326494605647377</t>
  </si>
  <si>
    <t>MLB6568957898</t>
  </si>
  <si>
    <t>U3887915146</t>
  </si>
  <si>
    <t>DPX3601575292VAR4</t>
  </si>
  <si>
    <t>Esmalte Em Gel Glitter Refletivo - Real Love - Cor: 03</t>
  </si>
  <si>
    <t>8550069289182226</t>
  </si>
  <si>
    <t>MLB6568959106</t>
  </si>
  <si>
    <t>U3877054963</t>
  </si>
  <si>
    <t>DPX4291570751VAR4</t>
  </si>
  <si>
    <t>Batom Febella + Lápis Labial - Kit 2 Unidades - Cor: 03</t>
  </si>
  <si>
    <t>595886540287377</t>
  </si>
  <si>
    <t>MLB6568960464</t>
  </si>
  <si>
    <t>U3887922530</t>
  </si>
  <si>
    <t>DPX2158299586_VAR_A</t>
  </si>
  <si>
    <t>Paleta De Sombra Dupla Essential Labranche - Cor: A</t>
  </si>
  <si>
    <t>790481272834452</t>
  </si>
  <si>
    <t>MLB6568960476</t>
  </si>
  <si>
    <t>U3887919582</t>
  </si>
  <si>
    <t>DPX2158299586_VAR_B</t>
  </si>
  <si>
    <t>Paleta De Sombra Dupla Essential Labranche - Cor: B</t>
  </si>
  <si>
    <t>1200618305653905</t>
  </si>
  <si>
    <t>MLB6568961260</t>
  </si>
  <si>
    <t>U3877056669</t>
  </si>
  <si>
    <t>DPX3854575982</t>
  </si>
  <si>
    <t>Dafu Esmalte Em Gel 3 Em 1 10ml Cor 9 Uv Led</t>
  </si>
  <si>
    <t>8136615497119055</t>
  </si>
  <si>
    <t>MLB6568963030</t>
  </si>
  <si>
    <t>U3877061941</t>
  </si>
  <si>
    <t>DPX5558876677</t>
  </si>
  <si>
    <t>Shampoo Reconstrutor Maracujá Do Amor Eaê Cosméticos 1l -</t>
  </si>
  <si>
    <t>6860877947287825</t>
  </si>
  <si>
    <t>MLB6568965740</t>
  </si>
  <si>
    <t>U3887935978</t>
  </si>
  <si>
    <t>DPX7159584803</t>
  </si>
  <si>
    <t>Pó Facial Chocolate All Day Vivai Fixador Translucido -</t>
  </si>
  <si>
    <t>6399872828074321</t>
  </si>
  <si>
    <t>MLB6568968120</t>
  </si>
  <si>
    <t>U3877064215</t>
  </si>
  <si>
    <t>DPX4375273275</t>
  </si>
  <si>
    <t>Dafu Decoração Unhas Caviar Luxo Nail Arte Nail Art</t>
  </si>
  <si>
    <t>8622964297296655</t>
  </si>
  <si>
    <t>MLB6568968298</t>
  </si>
  <si>
    <t>U3887929296</t>
  </si>
  <si>
    <t>DPX8581376093</t>
  </si>
  <si>
    <t>Pincel Lingua De Gato Para Base Makeup Look Dafu Pc14-3 -</t>
  </si>
  <si>
    <t>MLB6568969598</t>
  </si>
  <si>
    <t>Iluminador Corporal Iluminador Facial Pó De Fada C/aplicado</t>
  </si>
  <si>
    <t>6798753386501071</t>
  </si>
  <si>
    <t>MLB6568970544</t>
  </si>
  <si>
    <t>U3887936820</t>
  </si>
  <si>
    <t>DPX5466868321</t>
  </si>
  <si>
    <t>Shampoo Efeito Lifting C/ Colágeno Eaê Cosméticos 1l -</t>
  </si>
  <si>
    <t>7921939312985426</t>
  </si>
  <si>
    <t>MLB6568974334</t>
  </si>
  <si>
    <t>U3887952816</t>
  </si>
  <si>
    <t>DPX6301202308</t>
  </si>
  <si>
    <t>Pink 21 Batom Magic Pink &amp; Black Hidratante</t>
  </si>
  <si>
    <t>Rosa-claro</t>
  </si>
  <si>
    <t>MLB6568978588</t>
  </si>
  <si>
    <t>U3887959150</t>
  </si>
  <si>
    <t>Dafu Kit 4 Esmalte Em Gel Tons De Verde 10ml Uv Led</t>
  </si>
  <si>
    <t>1785267401371986</t>
  </si>
  <si>
    <t>MLB6568978700</t>
  </si>
  <si>
    <t>U3887959374</t>
  </si>
  <si>
    <t>DPX2816232535</t>
  </si>
  <si>
    <t>Eaê Cosméticos Kit Lissever Progressiva Sem Formol 2x1l</t>
  </si>
  <si>
    <t>7672995880801039</t>
  </si>
  <si>
    <t>MLB6568979790</t>
  </si>
  <si>
    <t>U3877102535</t>
  </si>
  <si>
    <t>DPX8802821581</t>
  </si>
  <si>
    <t>Kit Lissever Blond Progressiva Sem Formol White 2x100ml Eaê</t>
  </si>
  <si>
    <t>2164746200385298</t>
  </si>
  <si>
    <t>MLB6568980760</t>
  </si>
  <si>
    <t>U3887939402</t>
  </si>
  <si>
    <t>DPX5604007405</t>
  </si>
  <si>
    <t>Dafu Esmalte Em Gel Cor 13 Uv Led</t>
  </si>
  <si>
    <t>3758984494014995</t>
  </si>
  <si>
    <t>MLB6568989254</t>
  </si>
  <si>
    <t>U3887957894</t>
  </si>
  <si>
    <t>DPX4184869331</t>
  </si>
  <si>
    <t>Dafu Base Coat Uv Led</t>
  </si>
  <si>
    <t>5331815982714193</t>
  </si>
  <si>
    <t>MLB6568989376</t>
  </si>
  <si>
    <t>U3877096087</t>
  </si>
  <si>
    <t>DPX6181878249</t>
  </si>
  <si>
    <t>Felicity Kit 3 Definitiva De Quiabo 3 Botox Argila Branca</t>
  </si>
  <si>
    <t>2181999864238672</t>
  </si>
  <si>
    <t>MLB6568989602</t>
  </si>
  <si>
    <t>U3877098763</t>
  </si>
  <si>
    <t>DPX1212824792</t>
  </si>
  <si>
    <t>Pincel Para Pó Makeup Look Dafu Pc14-1 -</t>
  </si>
  <si>
    <t>MLB6568992748</t>
  </si>
  <si>
    <t>U3877111449</t>
  </si>
  <si>
    <t>DPX8178223155VAR4</t>
  </si>
  <si>
    <t>8245601701472209</t>
  </si>
  <si>
    <t>MLB6568994120</t>
  </si>
  <si>
    <t>U3877089295</t>
  </si>
  <si>
    <t>DPX7100884601</t>
  </si>
  <si>
    <t>Top Coat Olho De Gato Para Unhas Linha Start 10ml-real Love</t>
  </si>
  <si>
    <t>MLB6568995828</t>
  </si>
  <si>
    <t xml:space="preserve">Protetor Termico Capilar Vinagre De Maça Acidificante Eaê </t>
  </si>
  <si>
    <t>7032513078838800</t>
  </si>
  <si>
    <t>MLB6568996422</t>
  </si>
  <si>
    <t>U3887958610</t>
  </si>
  <si>
    <t>DPX5914093897</t>
  </si>
  <si>
    <t>Dafu Esmalte Em Gel 3 Em 1 10ml Cor 33 Uv Led</t>
  </si>
  <si>
    <t>2465654650472402</t>
  </si>
  <si>
    <t>MLB6569001300</t>
  </si>
  <si>
    <t>U3887977636</t>
  </si>
  <si>
    <t>DPX7698766242</t>
  </si>
  <si>
    <t>Removedor Tira Manchas De Tinturas Capilares Agima 100ml Ne</t>
  </si>
  <si>
    <t>MLB6569002930</t>
  </si>
  <si>
    <t>U3877122171</t>
  </si>
  <si>
    <t>Dafu Esmalte Em Gel 3 Em 1 10ml Cor 6 Uv Led</t>
  </si>
  <si>
    <t>MLB6569004952</t>
  </si>
  <si>
    <t>U3877127925</t>
  </si>
  <si>
    <t>Touca Nero Cabelo Com Barra Dormir Alisa Cabelo Trança Wi</t>
  </si>
  <si>
    <t>2758099576192083</t>
  </si>
  <si>
    <t>MLB6569006016</t>
  </si>
  <si>
    <t>U3877130805</t>
  </si>
  <si>
    <t>DPX7498011111</t>
  </si>
  <si>
    <t>Base Matte Professional Make-up Miss Rose -</t>
  </si>
  <si>
    <t>8211218099813841</t>
  </si>
  <si>
    <t>MLB6569006036</t>
  </si>
  <si>
    <t>U3877132147</t>
  </si>
  <si>
    <t>DPX7498011111VAR5</t>
  </si>
  <si>
    <t>Base Matte Professional Make-up Miss Rose - Cor: 04</t>
  </si>
  <si>
    <t>2511972197463186</t>
  </si>
  <si>
    <t>MLB6569006046</t>
  </si>
  <si>
    <t>U3877132159</t>
  </si>
  <si>
    <t>DPX7498011111VAR3</t>
  </si>
  <si>
    <t>Base Matte Professional Make-up Miss Rose - Cor: 02</t>
  </si>
  <si>
    <t>MLB6569007438</t>
  </si>
  <si>
    <t>Let Me Be Escova Sem Formol Restaura Suave Passo Unico 500ml</t>
  </si>
  <si>
    <t>6899593123493455</t>
  </si>
  <si>
    <t>MLB6569010342</t>
  </si>
  <si>
    <t>U3887972100</t>
  </si>
  <si>
    <t>DPX9863408871</t>
  </si>
  <si>
    <t>Dafu Esmalte Em Gel 3 Em 1 10ml Cor 21 Uv Led</t>
  </si>
  <si>
    <t>533150258867728</t>
  </si>
  <si>
    <t>MLB6569011876</t>
  </si>
  <si>
    <t>U3877115693</t>
  </si>
  <si>
    <t>DPX7070188207</t>
  </si>
  <si>
    <t>Ultra Bond Aid Para Unhas Linha Start 10ml - Real Love -</t>
  </si>
  <si>
    <t>3833006664354642</t>
  </si>
  <si>
    <t>MLB6569014570</t>
  </si>
  <si>
    <t>U3887988808</t>
  </si>
  <si>
    <t>DPX3420341060</t>
  </si>
  <si>
    <t>Top Coat Blindado Para Unhas15ml - Real Love -</t>
  </si>
  <si>
    <t>MLB6569016112</t>
  </si>
  <si>
    <t>4103684089729105</t>
  </si>
  <si>
    <t>MLB6569016380</t>
  </si>
  <si>
    <t>U3877132597</t>
  </si>
  <si>
    <t>DPX9515412138</t>
  </si>
  <si>
    <t>Batom Bala Star Labial Lua &amp; Neve Cintilante Hidratante</t>
  </si>
  <si>
    <t>7207871985222226</t>
  </si>
  <si>
    <t>MLB6569098434</t>
  </si>
  <si>
    <t>U3887978638</t>
  </si>
  <si>
    <t>DPX8593206042</t>
  </si>
  <si>
    <t>Lip Gloss Fluffy Lips Pink 21 -</t>
  </si>
  <si>
    <t>MLB6569099734</t>
  </si>
  <si>
    <t>Felicity Condicionador Banho De Diamantes Professional 300ml</t>
  </si>
  <si>
    <t>MLB6569102038</t>
  </si>
  <si>
    <t>Maranata Hair Máscara Hidratação Profunda 200ml Hidratação</t>
  </si>
  <si>
    <t>5392710719915666</t>
  </si>
  <si>
    <t>MLB6569106472</t>
  </si>
  <si>
    <t>U3888006318</t>
  </si>
  <si>
    <t>DPX8353280923</t>
  </si>
  <si>
    <t>Contorno Matte Lua &amp; Neve Profissional</t>
  </si>
  <si>
    <t>6051435316862546</t>
  </si>
  <si>
    <t>MLB6569106638</t>
  </si>
  <si>
    <t>U3888006722</t>
  </si>
  <si>
    <t>DPX7424170324</t>
  </si>
  <si>
    <t>Ruby Rose Corretivo Liquido Feels Maquiagem</t>
  </si>
  <si>
    <t>8521212693123025</t>
  </si>
  <si>
    <t>MLB6569106642</t>
  </si>
  <si>
    <t>U3888006734</t>
  </si>
  <si>
    <t>DPX7424170324VAR4</t>
  </si>
  <si>
    <t>Corretivo Liquido Feels Ruby Rose T50 - Cor: T40</t>
  </si>
  <si>
    <t>2148513820580947</t>
  </si>
  <si>
    <t>MLB6569106646</t>
  </si>
  <si>
    <t>U3888008016</t>
  </si>
  <si>
    <t>DPX7424170324VAR3</t>
  </si>
  <si>
    <t>Corretivo Liquido Feels Ruby Rose - Cor: T30</t>
  </si>
  <si>
    <t>1445814466774611</t>
  </si>
  <si>
    <t>MLB6569107250</t>
  </si>
  <si>
    <t>U3888010864</t>
  </si>
  <si>
    <t>DPX5686218472</t>
  </si>
  <si>
    <t>Caneta Delineadora Preta Lyrics Mystic Precisão</t>
  </si>
  <si>
    <t>2225467881729041</t>
  </si>
  <si>
    <t>MLB6569108924</t>
  </si>
  <si>
    <t>U3877155133</t>
  </si>
  <si>
    <t>DPX7116855675</t>
  </si>
  <si>
    <t>Pink 21 Caneta Delineadora Sobrancelhas Á Prova D'agua</t>
  </si>
  <si>
    <t>2180290118724563</t>
  </si>
  <si>
    <t>MLB6569109482</t>
  </si>
  <si>
    <t>U3877155769</t>
  </si>
  <si>
    <t>DPX3981712983</t>
  </si>
  <si>
    <t>Pperfume De Calcinha Spray Aromático Evita Odor -</t>
  </si>
  <si>
    <t>2412055529711187</t>
  </si>
  <si>
    <t>MLB6569110704</t>
  </si>
  <si>
    <t>U3877109593</t>
  </si>
  <si>
    <t>DPX2849285320</t>
  </si>
  <si>
    <t>Real Love Gel De Alongamento Unha Com Glitter 5 Nude 15g</t>
  </si>
  <si>
    <t>4634532864093522</t>
  </si>
  <si>
    <t>MLB6569112344</t>
  </si>
  <si>
    <t>U3887980076</t>
  </si>
  <si>
    <t>DPX5530469044</t>
  </si>
  <si>
    <t>Dafu Esmalte Em Gel Cor 55 Uv Led</t>
  </si>
  <si>
    <t>6846819513728850</t>
  </si>
  <si>
    <t>MLB6569112676</t>
  </si>
  <si>
    <t>U3887980640</t>
  </si>
  <si>
    <t>DPX6456904527</t>
  </si>
  <si>
    <t>Dafu Esmalte Em Gel Cor 25 Uv Led</t>
  </si>
  <si>
    <t>6548595097857488</t>
  </si>
  <si>
    <t>MLB6569118244</t>
  </si>
  <si>
    <t>U3877136119</t>
  </si>
  <si>
    <t>DPX4945567264</t>
  </si>
  <si>
    <t>Pink 21 Blur Primer The New Skin Secret Fixação</t>
  </si>
  <si>
    <t>930270577792721</t>
  </si>
  <si>
    <t>MLB6569120106</t>
  </si>
  <si>
    <t>U3877144237</t>
  </si>
  <si>
    <t>DPX4695835757</t>
  </si>
  <si>
    <t>Pink 21 Caneta Delineadora Sobrancelhas Castanho 2 Precisão</t>
  </si>
  <si>
    <t>5847784249163218</t>
  </si>
  <si>
    <t>MLB6569121254</t>
  </si>
  <si>
    <t>U3877154027</t>
  </si>
  <si>
    <t>DPX6480904103</t>
  </si>
  <si>
    <t>Kyràv Base Líquida Efeito Matte Cor 2 Matte</t>
  </si>
  <si>
    <t>500253754069648</t>
  </si>
  <si>
    <t>MLB6569122806</t>
  </si>
  <si>
    <t>U3877157517</t>
  </si>
  <si>
    <t>DPX4672215555</t>
  </si>
  <si>
    <t>Real Love Gel Alongamento De Unha 16 Nude Uv Led Refil 15g</t>
  </si>
  <si>
    <t>2007415014870227</t>
  </si>
  <si>
    <t>MLB6569137094</t>
  </si>
  <si>
    <t>U3887987516</t>
  </si>
  <si>
    <t>DPX9433085013</t>
  </si>
  <si>
    <t>Real Love Kit 7 Preparadores Start 7x10ml Profissional</t>
  </si>
  <si>
    <t>8857257084741199</t>
  </si>
  <si>
    <t>MLB6569142444</t>
  </si>
  <si>
    <t>U3877137679</t>
  </si>
  <si>
    <t>DPX4586710156</t>
  </si>
  <si>
    <t>Real Love Broca 3/32 Small Ball (f) Vermelho Manicure</t>
  </si>
  <si>
    <t>Vermelho Small Ball</t>
  </si>
  <si>
    <t>MLB6569143242</t>
  </si>
  <si>
    <t>Corretivo Matte Lua&amp;neve - Cor: 04</t>
  </si>
  <si>
    <t>2389418128354705</t>
  </si>
  <si>
    <t>MLB6569143730</t>
  </si>
  <si>
    <t>U3877148257</t>
  </si>
  <si>
    <t>DPX3584822736</t>
  </si>
  <si>
    <t>Caneta Fio A Fio P/sobrancelhas Eyebrow Contouring Febella -</t>
  </si>
  <si>
    <t>234737649229075</t>
  </si>
  <si>
    <t>MLB6569143746</t>
  </si>
  <si>
    <t>U3877145153</t>
  </si>
  <si>
    <t>DPX3584822736VAR3</t>
  </si>
  <si>
    <t>Caneta Fio A Fio  P/sobrancelhas Eyebro - Cor: Marrom Escuro</t>
  </si>
  <si>
    <t>6029216141133135</t>
  </si>
  <si>
    <t>MLB6569144016</t>
  </si>
  <si>
    <t>U3877150569</t>
  </si>
  <si>
    <t>DPX8188900932</t>
  </si>
  <si>
    <t>Creme Hidratante Corporal Loção Soul Flower Cosméticos 240ml</t>
  </si>
  <si>
    <t>7332589511200658</t>
  </si>
  <si>
    <t>MLB6569163016</t>
  </si>
  <si>
    <t>U3877143709</t>
  </si>
  <si>
    <t>DPX5683620924</t>
  </si>
  <si>
    <t>Corretivo Matte Lua&amp;neve -</t>
  </si>
  <si>
    <t>790305553669968</t>
  </si>
  <si>
    <t>MLB6569163030</t>
  </si>
  <si>
    <t>U3888008512</t>
  </si>
  <si>
    <t>DPX5683620924VAR6</t>
  </si>
  <si>
    <t>Corretivo Matte Lua&amp;neve - Cor: 05</t>
  </si>
  <si>
    <t>2543193046887632</t>
  </si>
  <si>
    <t>MLB6569163036</t>
  </si>
  <si>
    <t>U3888005476</t>
  </si>
  <si>
    <t>DPX5683620924VAR3</t>
  </si>
  <si>
    <t>Corretivo Matte Lua&amp;neve - Cor: 02</t>
  </si>
  <si>
    <t>7971859664637775</t>
  </si>
  <si>
    <t>MLB6569164102</t>
  </si>
  <si>
    <t>U3888015460</t>
  </si>
  <si>
    <t>DPX5936145191</t>
  </si>
  <si>
    <t>Vivai Delineador Líquido Preto Matte Teddy Longa Duração</t>
  </si>
  <si>
    <t>MLB6569164852</t>
  </si>
  <si>
    <t>U3888019436</t>
  </si>
  <si>
    <t>Blush Bastão Stick 2 Lua Neve Maquiagem</t>
  </si>
  <si>
    <t>5038569807955216</t>
  </si>
  <si>
    <t>MLB6569168428</t>
  </si>
  <si>
    <t>U3877166821</t>
  </si>
  <si>
    <t>DPX8286737543</t>
  </si>
  <si>
    <t>Kit 5 Sachês Refil Sculping Gel Unhas Light 15ml Real Lov</t>
  </si>
  <si>
    <t>60596568156882</t>
  </si>
  <si>
    <t>MLB6569170138</t>
  </si>
  <si>
    <t>U3877171705</t>
  </si>
  <si>
    <t>DPX6342918951</t>
  </si>
  <si>
    <t>Kit Esmalte 3 Em 1 - 10 Cores + Mini Cabine - Real Love</t>
  </si>
  <si>
    <t>1628599227968209</t>
  </si>
  <si>
    <t>MLB6569170396</t>
  </si>
  <si>
    <t>U3877174865</t>
  </si>
  <si>
    <t>DPX2514583101</t>
  </si>
  <si>
    <t>Dafu Kit Esmaltes Em Gel Tons De Marrons E Branco Uv Led</t>
  </si>
  <si>
    <t>5542915638661200</t>
  </si>
  <si>
    <t>MLB6569170546</t>
  </si>
  <si>
    <t>U3888038530</t>
  </si>
  <si>
    <t>DPX2154160087</t>
  </si>
  <si>
    <t>Dafu Kit Esmaltes Em Gel Tons De Marrons E Nude Uv Led</t>
  </si>
  <si>
    <t>1875376095936594</t>
  </si>
  <si>
    <t>MLB6569170804</t>
  </si>
  <si>
    <t>U3888037356</t>
  </si>
  <si>
    <t>DPX9789886597</t>
  </si>
  <si>
    <t>Dafu Kit Esmaltes Em Gel Tons Francessinha Max Uv Led</t>
  </si>
  <si>
    <t>MLB6569171030</t>
  </si>
  <si>
    <t>Dafu Esmalte Em Gel 10ml Cor M020 Uv Led</t>
  </si>
  <si>
    <t>6888372220844433</t>
  </si>
  <si>
    <t>MLB6569171814</t>
  </si>
  <si>
    <t>U3877180179</t>
  </si>
  <si>
    <t>7324176230449041</t>
  </si>
  <si>
    <t>MLB6569171946</t>
  </si>
  <si>
    <t>U3877177481</t>
  </si>
  <si>
    <t>DPX5502884231</t>
  </si>
  <si>
    <t>Real Love Gel De Alongamento Com Glitter 1 Transparente 15g</t>
  </si>
  <si>
    <t>1132982377831120</t>
  </si>
  <si>
    <t>MLB6569176316</t>
  </si>
  <si>
    <t>U3877157789</t>
  </si>
  <si>
    <t>DPX5973073494</t>
  </si>
  <si>
    <t>Real Love Gel Alongamento De Unha 17 Nude Uv Led Refil 15g</t>
  </si>
  <si>
    <t>5284530191834322</t>
  </si>
  <si>
    <t>MLB6569179082</t>
  </si>
  <si>
    <t>U3888030946</t>
  </si>
  <si>
    <t>DPX3299138035</t>
  </si>
  <si>
    <t>Real Love Kit 5 Refil Gel De Alongameno 19 Nude 15ml</t>
  </si>
  <si>
    <t>3095318353667407</t>
  </si>
  <si>
    <t>MLB6569179462</t>
  </si>
  <si>
    <t>U3877168137</t>
  </si>
  <si>
    <t>DPX1257177830</t>
  </si>
  <si>
    <t>Dafu Kit Coleção 12 Esmaltes Em Gel Uv Led Tons De Marrom</t>
  </si>
  <si>
    <t>2378407766861008</t>
  </si>
  <si>
    <t>MLB6569181976</t>
  </si>
  <si>
    <t>U3888043244</t>
  </si>
  <si>
    <t>DPX9670505034</t>
  </si>
  <si>
    <t>Real Love Gel De Alongamento 5 Nude 15ml Alongamento</t>
  </si>
  <si>
    <t>385838011818001</t>
  </si>
  <si>
    <t>MLB6569182454</t>
  </si>
  <si>
    <t>U3877179315</t>
  </si>
  <si>
    <t>Real Love Gel De Alongamento Com Glitter 16 Nude 15g</t>
  </si>
  <si>
    <t>7930919868127248</t>
  </si>
  <si>
    <t>MLB6569182698</t>
  </si>
  <si>
    <t>U3877182335</t>
  </si>
  <si>
    <t>DPX7683072380</t>
  </si>
  <si>
    <t>Primer Non-acid Dafu 15ml -</t>
  </si>
  <si>
    <t>3201544455016147</t>
  </si>
  <si>
    <t>MLB6569183298</t>
  </si>
  <si>
    <t>U3877183197</t>
  </si>
  <si>
    <t>DPX1416709393</t>
  </si>
  <si>
    <t>Real Love Gel De Alongamento Reconstrutor Hard 18 White 15ml</t>
  </si>
  <si>
    <t>MLB6569203102</t>
  </si>
  <si>
    <t>Real Love Esmalte Em Gel 3 Em 1 5ml Cor 1 Uv Led</t>
  </si>
  <si>
    <t>MLB6571593094</t>
  </si>
  <si>
    <t>U3877373995</t>
  </si>
  <si>
    <t>MLB6571593328</t>
  </si>
  <si>
    <t>3263630189117904</t>
  </si>
  <si>
    <t>MLB6571790302</t>
  </si>
  <si>
    <t>U3888239902</t>
  </si>
  <si>
    <t>DPX3243139916</t>
  </si>
  <si>
    <t>Pó Compacto Da Ruby Rose Efeito Natural E Matte Sunshine -</t>
  </si>
  <si>
    <t>263018587906704</t>
  </si>
  <si>
    <t>MLB6571806182</t>
  </si>
  <si>
    <t>U3877386005</t>
  </si>
  <si>
    <t>DPX8106594238_VAR_AZUL</t>
  </si>
  <si>
    <t>Lip Balm Hidratante Incolor Ursinho Querido - Cor: Azul</t>
  </si>
  <si>
    <t>3335442816876752</t>
  </si>
  <si>
    <t>MLB6571810794</t>
  </si>
  <si>
    <t>U3877395671</t>
  </si>
  <si>
    <t>DPX9512594780</t>
  </si>
  <si>
    <t>Lápis Duo Vivai Preto E Marrom - Apontador Ideal Para Ol</t>
  </si>
  <si>
    <t>7091013348171473</t>
  </si>
  <si>
    <t>MLB6571811304</t>
  </si>
  <si>
    <t>U3888262150</t>
  </si>
  <si>
    <t>DPX6636969360</t>
  </si>
  <si>
    <t>Dafu Kit 6 Esmalte Em Gel Rosa + Nude Da 3 Em1 5ml Uv Led</t>
  </si>
  <si>
    <t>856252054767568</t>
  </si>
  <si>
    <t>MLB6571812382</t>
  </si>
  <si>
    <t>U3888259594</t>
  </si>
  <si>
    <t>DPX8073761331</t>
  </si>
  <si>
    <t>Felicity Kit 10 Máscara Tonalizante Marsala 500g Hidratação</t>
  </si>
  <si>
    <t>3368065348077009</t>
  </si>
  <si>
    <t>MLB6571814060</t>
  </si>
  <si>
    <t>U3877399095</t>
  </si>
  <si>
    <t>DPX9440018357</t>
  </si>
  <si>
    <t>Real Love Gel Solido Alongamento Powder Gel 5 Nude 15g</t>
  </si>
  <si>
    <t>4002928791530194</t>
  </si>
  <si>
    <t>MLB6571818410</t>
  </si>
  <si>
    <t>U3877391013</t>
  </si>
  <si>
    <t>DPX3740715439</t>
  </si>
  <si>
    <t>Pink 21 Kit Lapis Labial Lapis Contorno Labial Com 12</t>
  </si>
  <si>
    <t>7746161445691217</t>
  </si>
  <si>
    <t>MLB6571818968</t>
  </si>
  <si>
    <t>U3877394913</t>
  </si>
  <si>
    <t>DPX4201441666</t>
  </si>
  <si>
    <t>Pó Solto Facial Finalizador Rosa Mosqueta Febella -</t>
  </si>
  <si>
    <t>5932609272001362</t>
  </si>
  <si>
    <t>MLB6571819150</t>
  </si>
  <si>
    <t>U3877395063</t>
  </si>
  <si>
    <t>DPX7576151259</t>
  </si>
  <si>
    <t>Let Me Be Kit Shampoo + Condicionador Biotina 1l Limpeza</t>
  </si>
  <si>
    <t>5935751833938321</t>
  </si>
  <si>
    <t>MLB6571820162</t>
  </si>
  <si>
    <t>U3888262004</t>
  </si>
  <si>
    <t>DPX1864177445</t>
  </si>
  <si>
    <t>Real Love Gel De Along Unhas Aromatizado Cor #18 15ml</t>
  </si>
  <si>
    <t>2028401614980368</t>
  </si>
  <si>
    <t>MLB6571822786</t>
  </si>
  <si>
    <t>U3888264286</t>
  </si>
  <si>
    <t>DPX8143049275</t>
  </si>
  <si>
    <t>Liso No Chuveiro Mascara Hidratante Liso Absoluto 250g -</t>
  </si>
  <si>
    <t>789110720446354</t>
  </si>
  <si>
    <t>MLB6571826458</t>
  </si>
  <si>
    <t>U3877406141</t>
  </si>
  <si>
    <t>DPX9944577208</t>
  </si>
  <si>
    <t>Gel Base Blindada Real Love 10ml Linha Start Aderência -</t>
  </si>
  <si>
    <t>8519272137692497</t>
  </si>
  <si>
    <t>MLB6571843914</t>
  </si>
  <si>
    <t>U3877397559</t>
  </si>
  <si>
    <t>DPX3283578787</t>
  </si>
  <si>
    <t>Placa De Inox Meia Lua - Espátula Para Maquiagem</t>
  </si>
  <si>
    <t>2681789427147923</t>
  </si>
  <si>
    <t>MLB6571846028</t>
  </si>
  <si>
    <t>U3888265540</t>
  </si>
  <si>
    <t>DPX5344239769</t>
  </si>
  <si>
    <t>Babasoul Kit 6un Hidratante Labial Melancia 10g Hidratante</t>
  </si>
  <si>
    <t>989924542559443</t>
  </si>
  <si>
    <t>MLB6571848842</t>
  </si>
  <si>
    <t>U3888272114</t>
  </si>
  <si>
    <t>DPX7177372128</t>
  </si>
  <si>
    <t>Primer Non Acido Para Unhas Linha Start 10ml - Real Love -</t>
  </si>
  <si>
    <t>3860238417149200</t>
  </si>
  <si>
    <t>MLB6571853710</t>
  </si>
  <si>
    <t>U3888258974</t>
  </si>
  <si>
    <t>DPX6166066520</t>
  </si>
  <si>
    <t>Dafu Kit 4 Esmalte 3 Em 1 Tons Verdes Uv Led</t>
  </si>
  <si>
    <t>66054722054035</t>
  </si>
  <si>
    <t>MLB6571857658</t>
  </si>
  <si>
    <t>U3888270142</t>
  </si>
  <si>
    <t>DPX3403894236</t>
  </si>
  <si>
    <t>Mousse Micelar Oleosidade Espuma De Limpeza Facial 150ml -</t>
  </si>
  <si>
    <t>4471134317370770</t>
  </si>
  <si>
    <t>MLB6571859578</t>
  </si>
  <si>
    <t>U3888269948</t>
  </si>
  <si>
    <t>DPX4450696359</t>
  </si>
  <si>
    <t>Real Love Gel Base Unhas Start 10ml Alongamento</t>
  </si>
  <si>
    <t>7062636052159567</t>
  </si>
  <si>
    <t>MLB6571860774</t>
  </si>
  <si>
    <t>U3877407179</t>
  </si>
  <si>
    <t>DPX4153107714</t>
  </si>
  <si>
    <t>Shampoo Refresh Deutox Rofer Profissional 1,5l -</t>
  </si>
  <si>
    <t>7676051269042320</t>
  </si>
  <si>
    <t>MLB6571866778</t>
  </si>
  <si>
    <t>U3888270674</t>
  </si>
  <si>
    <t>DPX9436189481</t>
  </si>
  <si>
    <t>Escova Progressiva Let Me Antifrizz De 1l 1kgg Anti Frizz</t>
  </si>
  <si>
    <t>4202982949941840</t>
  </si>
  <si>
    <t>MLB6571880348</t>
  </si>
  <si>
    <t>U3888267836</t>
  </si>
  <si>
    <t>DPX9525071483</t>
  </si>
  <si>
    <t>Molde F1 Bailarina Extra Longa Real Love 120 Unhas -</t>
  </si>
  <si>
    <t>6079209154698767</t>
  </si>
  <si>
    <t>MLB6571881232</t>
  </si>
  <si>
    <t>U3877408193</t>
  </si>
  <si>
    <t>DPX6071016831</t>
  </si>
  <si>
    <t>Shampoo Para Crescimento Eaê Cosmeticos 300ml -</t>
  </si>
  <si>
    <t>6092576727245842</t>
  </si>
  <si>
    <t>MLB6571881876</t>
  </si>
  <si>
    <t>U3888272726</t>
  </si>
  <si>
    <t>DPX3918802371</t>
  </si>
  <si>
    <t>Mascara Mousse Hidratação Maranata Hair 1k -</t>
  </si>
  <si>
    <t>8707425309935631</t>
  </si>
  <si>
    <t>MLB6571882672</t>
  </si>
  <si>
    <t>U3877407885</t>
  </si>
  <si>
    <t>Como Deixar O Cabelo Preto Azulado Em Casa Mascara Preto -</t>
  </si>
  <si>
    <t>2735319115880723</t>
  </si>
  <si>
    <t>MLB6571892976</t>
  </si>
  <si>
    <t>U3877407397</t>
  </si>
  <si>
    <t>DPX4169294261</t>
  </si>
  <si>
    <t>Tonalizante Marsala Mascara Hidratante Felicity 500gr -</t>
  </si>
  <si>
    <t>7149670855949329</t>
  </si>
  <si>
    <t>MLB6572290706</t>
  </si>
  <si>
    <t>U3888349404</t>
  </si>
  <si>
    <t>DPX6045064649</t>
  </si>
  <si>
    <t>Pó Compacto Vegano Dalla -</t>
  </si>
  <si>
    <t>645510186758547</t>
  </si>
  <si>
    <t>MLB6572290718</t>
  </si>
  <si>
    <t>U3888351038</t>
  </si>
  <si>
    <t>DPX6045064649VAR9</t>
  </si>
  <si>
    <t>Pó Compacto Vegano Dalla - Cor: 04</t>
  </si>
  <si>
    <t>1390838289978386</t>
  </si>
  <si>
    <t>MLB6572292874</t>
  </si>
  <si>
    <t>U3888355676</t>
  </si>
  <si>
    <t>DPX7991895259VAR3</t>
  </si>
  <si>
    <t>Kit Decoração Para Unhas Luxo Laço, Coração E Fl - Cor:</t>
  </si>
  <si>
    <t>793682421061459</t>
  </si>
  <si>
    <t>MLB6572292898</t>
  </si>
  <si>
    <t>U3877493923</t>
  </si>
  <si>
    <t>DPX7991895259VAR2</t>
  </si>
  <si>
    <t>Kit Decoração Para Unhas Luxo Laço, Coração E  - Cor: B</t>
  </si>
  <si>
    <t>6983544733602960</t>
  </si>
  <si>
    <t>MLB6572314714</t>
  </si>
  <si>
    <t>U3877490427</t>
  </si>
  <si>
    <t>DPX4706230036</t>
  </si>
  <si>
    <t>Dafu Esmalte Em Gel Cor 37 Uv Led</t>
  </si>
  <si>
    <t>8937802678345039</t>
  </si>
  <si>
    <t>MLB6572315368</t>
  </si>
  <si>
    <t>U3877489605</t>
  </si>
  <si>
    <t>DPX3710157676</t>
  </si>
  <si>
    <t>Dafu Esmalte Em Gel Cor 30 Uv Led</t>
  </si>
  <si>
    <t>8768776603122511</t>
  </si>
  <si>
    <t>MLB6572315598</t>
  </si>
  <si>
    <t>U3888354288</t>
  </si>
  <si>
    <t>DPX3543816286</t>
  </si>
  <si>
    <t>Dafu Esmalte Em Gel Cor 27 Uv Led</t>
  </si>
  <si>
    <t>7376724627591824</t>
  </si>
  <si>
    <t>MLB6572316108</t>
  </si>
  <si>
    <t>U3888355366</t>
  </si>
  <si>
    <t>DPX6580797730</t>
  </si>
  <si>
    <t>Dafu Esmalte Em Gel Cor 1 Uv Led</t>
  </si>
  <si>
    <t>MLB6572317184</t>
  </si>
  <si>
    <t>3145486726498640</t>
  </si>
  <si>
    <t>MLB6572324706</t>
  </si>
  <si>
    <t>U3888349488</t>
  </si>
  <si>
    <t>DPX6045064649VAR5</t>
  </si>
  <si>
    <t>Pó Compacto Vegano Dalla - Cor: 05</t>
  </si>
  <si>
    <t>5069430554859153</t>
  </si>
  <si>
    <t>MLB6572330468</t>
  </si>
  <si>
    <t>U3888367612</t>
  </si>
  <si>
    <t>DPX8859514637</t>
  </si>
  <si>
    <t>Paleta De Iliminador Bobbi Rara Ursinho Cor 02 -</t>
  </si>
  <si>
    <t>6709320934507346</t>
  </si>
  <si>
    <t>MLB6572346830</t>
  </si>
  <si>
    <t>U3877508907</t>
  </si>
  <si>
    <t>DPX5459191514VAR3</t>
  </si>
  <si>
    <t>Pó Solto Facial Sinta-se Miss Rose - Cor: 02</t>
  </si>
  <si>
    <t>58243540335056</t>
  </si>
  <si>
    <t>MLB6572347904</t>
  </si>
  <si>
    <t>U3888347744</t>
  </si>
  <si>
    <t>DPX6045064649VAR8</t>
  </si>
  <si>
    <t>Pó Compacto Vegano Dalla - Cor: 08</t>
  </si>
  <si>
    <t>7649734808755919</t>
  </si>
  <si>
    <t>MLB6572350048</t>
  </si>
  <si>
    <t>U3888357290</t>
  </si>
  <si>
    <t>DPX7991895259VAR4</t>
  </si>
  <si>
    <t xml:space="preserve">Kit Decoração Para Unhas Luxo Laço, Coração E F - Cor: </t>
  </si>
  <si>
    <t>MLB6572377576</t>
  </si>
  <si>
    <t>Paleta De Sombras Choco Cream Ludurana -</t>
  </si>
  <si>
    <t>5561192782704080</t>
  </si>
  <si>
    <t>MLB6572387212</t>
  </si>
  <si>
    <t>U3888369070</t>
  </si>
  <si>
    <t>DPX4032867551</t>
  </si>
  <si>
    <t>Paleta De Sombra Coração B Bobbi Rara 01 -</t>
  </si>
  <si>
    <t>7298008181372369</t>
  </si>
  <si>
    <t>MLB6572389456</t>
  </si>
  <si>
    <t>U3888370920</t>
  </si>
  <si>
    <t>DPX5459191514VAR4</t>
  </si>
  <si>
    <t>Pó Solto Facial Sinta-se Miss Rose - Cor: 03</t>
  </si>
  <si>
    <t>4623862284717841</t>
  </si>
  <si>
    <t>MLB6572398120</t>
  </si>
  <si>
    <t>U3888392044</t>
  </si>
  <si>
    <t>DPX6999757997VAR3</t>
  </si>
  <si>
    <t>Base Stick Bastão Cremoso Perfect Blend By Ruby  - Cor: Fs2</t>
  </si>
  <si>
    <t>5931624796252561</t>
  </si>
  <si>
    <t>MLB6572413116</t>
  </si>
  <si>
    <t>U3877508899</t>
  </si>
  <si>
    <t>DPX5459191514</t>
  </si>
  <si>
    <t>Pó Solto Facial Sinta-se Miss Rose -</t>
  </si>
  <si>
    <t>MLB6572438624</t>
  </si>
  <si>
    <t>Miss Rose Blush Neon Selva Maquiagem</t>
  </si>
  <si>
    <t>558379002617939</t>
  </si>
  <si>
    <t>MLB6572474212</t>
  </si>
  <si>
    <t>U3888430654</t>
  </si>
  <si>
    <t>DPX9707466005</t>
  </si>
  <si>
    <t>Dapop Base Fluida Vegana Make Bem Basiquinha -</t>
  </si>
  <si>
    <t>1437259965594000</t>
  </si>
  <si>
    <t>MLB6572474218</t>
  </si>
  <si>
    <t>U3888430676</t>
  </si>
  <si>
    <t>DPX9707466005VAR3</t>
  </si>
  <si>
    <t>Dapop Base Fluida Vegana Make Bem Basiquinha - Cor: 02</t>
  </si>
  <si>
    <t>8415279186105551</t>
  </si>
  <si>
    <t>MLB6572474224</t>
  </si>
  <si>
    <t>U3888429176</t>
  </si>
  <si>
    <t>DPX9707466005VAR4</t>
  </si>
  <si>
    <t>Dapop Base Fluida Vegana Make Bem Basiquinha - Cor: 03</t>
  </si>
  <si>
    <t>8586744513084304</t>
  </si>
  <si>
    <t>MLB6572474238</t>
  </si>
  <si>
    <t>U3877565135</t>
  </si>
  <si>
    <t>DPX9707466005VAR2</t>
  </si>
  <si>
    <t>Dapop Base Fluida Vegana Make Bem Basiquinha - Cor: 01</t>
  </si>
  <si>
    <t>2212460988847633</t>
  </si>
  <si>
    <t>MLB6572474792</t>
  </si>
  <si>
    <t>U3888429612</t>
  </si>
  <si>
    <t>DPX6475440730</t>
  </si>
  <si>
    <t>Cola Cílios Postiços Lua&amp;amp;neve A Prova D' Ág Volume</t>
  </si>
  <si>
    <t>5829262465409298</t>
  </si>
  <si>
    <t>MLB6572476270</t>
  </si>
  <si>
    <t>U3888436508</t>
  </si>
  <si>
    <t>DPX5842803694</t>
  </si>
  <si>
    <t>Ultrabond Dafu Linha Premium | 10ml -</t>
  </si>
  <si>
    <t>8542484519732369</t>
  </si>
  <si>
    <t>MLB6572476504</t>
  </si>
  <si>
    <t>U3888437126</t>
  </si>
  <si>
    <t>DPX5292609216</t>
  </si>
  <si>
    <t>Real Love Gel Alongamento Morango Cor 5 15ml Aromatizado Uv</t>
  </si>
  <si>
    <t>547777553735188</t>
  </si>
  <si>
    <t>MLB6572476720</t>
  </si>
  <si>
    <t>U3888439518</t>
  </si>
  <si>
    <t>DPX2249334312</t>
  </si>
  <si>
    <t>Real Love Gel Alongamento De Unha 18 White Uv Led Refil 15g</t>
  </si>
  <si>
    <t>MLB6572485444</t>
  </si>
  <si>
    <t>U3888430880</t>
  </si>
  <si>
    <t>Dafu Decoração De Unha Cereja Dourado Ou Prata Nail Art</t>
  </si>
  <si>
    <t>MLB6572485624</t>
  </si>
  <si>
    <t>3049243287032721</t>
  </si>
  <si>
    <t>MLB6572486438</t>
  </si>
  <si>
    <t>U3877568177</t>
  </si>
  <si>
    <t>DPX1814028827</t>
  </si>
  <si>
    <t>Felicity Ativo Definitiva De Quiabo 1l Anti Frizz</t>
  </si>
  <si>
    <t>MLB6572490982</t>
  </si>
  <si>
    <t>Kit 3 Mascara Tonalizante Castanho Royal Felicity 500gr 4 Castanho</t>
  </si>
  <si>
    <t>MLB6572533572</t>
  </si>
  <si>
    <t>U3888432926</t>
  </si>
  <si>
    <t>1365225875227668</t>
  </si>
  <si>
    <t>MLB6572533718</t>
  </si>
  <si>
    <t>U3888429944</t>
  </si>
  <si>
    <t>DPX5001737774</t>
  </si>
  <si>
    <t>Corretivo Facial Liquido Febella True Skin -</t>
  </si>
  <si>
    <t>8974313167885457</t>
  </si>
  <si>
    <t>MLB6572534592</t>
  </si>
  <si>
    <t>U3877567769</t>
  </si>
  <si>
    <t>DPX9628754582</t>
  </si>
  <si>
    <t>Eaê Cosméticos Balm Creme Hidratante Barba 100ml Hidratação</t>
  </si>
  <si>
    <t>3990098359383826</t>
  </si>
  <si>
    <t>MLB6572534646</t>
  </si>
  <si>
    <t>U3877571123</t>
  </si>
  <si>
    <t>DPX6321397702</t>
  </si>
  <si>
    <t>Kyràv Base Líquida Facial Efeito Matte Cor 4 Matte</t>
  </si>
  <si>
    <t>04</t>
  </si>
  <si>
    <t>6661911528268690</t>
  </si>
  <si>
    <t>MLB6572534924</t>
  </si>
  <si>
    <t>U3877571923</t>
  </si>
  <si>
    <t>DPX2689029849</t>
  </si>
  <si>
    <t>Felicity Como Deixar Cabelo Preto Azulado Máscara Azulada</t>
  </si>
  <si>
    <t>363356117262609</t>
  </si>
  <si>
    <t>MLB6572538304</t>
  </si>
  <si>
    <t>U3888451554</t>
  </si>
  <si>
    <t>DPX9906392921</t>
  </si>
  <si>
    <t>Ph Balancing Agent Desidratador 8ml Real Love -</t>
  </si>
  <si>
    <t>3654617723004879</t>
  </si>
  <si>
    <t>MLB6572538626</t>
  </si>
  <si>
    <t>U3877583821</t>
  </si>
  <si>
    <t>DPX5375773744</t>
  </si>
  <si>
    <t>Ph Balancing Real Love 10ml Desidratador Para / Unhas Start</t>
  </si>
  <si>
    <t>1288391205243732</t>
  </si>
  <si>
    <t>MLB6572540184</t>
  </si>
  <si>
    <t>U3888455398</t>
  </si>
  <si>
    <t>DPX9391461309</t>
  </si>
  <si>
    <t>Real Love Gel De Alongamento Unhas Cor 16 Nude 30ml Nud</t>
  </si>
  <si>
    <t>7530171671328913</t>
  </si>
  <si>
    <t>MLB6572541550</t>
  </si>
  <si>
    <t>U3877594185</t>
  </si>
  <si>
    <t>DPX6674767626</t>
  </si>
  <si>
    <t>Dafu Kit Esmaltes Em Gel Tons De Castanho Uv Led</t>
  </si>
  <si>
    <t>MLB6572541692</t>
  </si>
  <si>
    <t>U3877594461</t>
  </si>
  <si>
    <t>7818382563276561</t>
  </si>
  <si>
    <t>MLB6572541838</t>
  </si>
  <si>
    <t>U3877593237</t>
  </si>
  <si>
    <t>DPX6227958524</t>
  </si>
  <si>
    <t>Kit Esmaltes Em Gel Tons De Verde Cores Vibrantes Dafu -</t>
  </si>
  <si>
    <t>5758607288421459</t>
  </si>
  <si>
    <t>MLB6572544606</t>
  </si>
  <si>
    <t>U3877573951</t>
  </si>
  <si>
    <t>DPX4106629532</t>
  </si>
  <si>
    <t>Real Love Gel Alongamento De Unha 15 Nude Uv Led Refil 15g</t>
  </si>
  <si>
    <t>2522903834288977</t>
  </si>
  <si>
    <t>MLB6572546576</t>
  </si>
  <si>
    <t>U3888447598</t>
  </si>
  <si>
    <t>DPX7564785255</t>
  </si>
  <si>
    <t>Kit C/3 Mascaras Tonalizante Marsala Felicity 3x500g -</t>
  </si>
  <si>
    <t>5600404444830866</t>
  </si>
  <si>
    <t>MLB6572556086</t>
  </si>
  <si>
    <t>U3888433662</t>
  </si>
  <si>
    <t>DPX1384457329</t>
  </si>
  <si>
    <t>Eaê Cosméticos Agua Oxigenada Volume 20 900ml Coloração</t>
  </si>
  <si>
    <t>MLB6572557674</t>
  </si>
  <si>
    <t>U3877576159</t>
  </si>
  <si>
    <t>8735340813288206</t>
  </si>
  <si>
    <t>MLB6572557750</t>
  </si>
  <si>
    <t>U3877574793</t>
  </si>
  <si>
    <t>DPX9097598006</t>
  </si>
  <si>
    <t>Felicity Kit Máscara Liso Absoluto + Botox Organico 250g</t>
  </si>
  <si>
    <t>8098526964804433</t>
  </si>
  <si>
    <t>MLB6572559130</t>
  </si>
  <si>
    <t>U3877581525</t>
  </si>
  <si>
    <t>DPX7122085889</t>
  </si>
  <si>
    <t>Dafu Kit 5 Pincel Unhas Cristal Alongamento</t>
  </si>
  <si>
    <t>8973093457658510</t>
  </si>
  <si>
    <t>MLB6572560984</t>
  </si>
  <si>
    <t>U3877587221</t>
  </si>
  <si>
    <t>DPX8257744526</t>
  </si>
  <si>
    <t>Ph Balacing Desidratador Dafu 15ml -</t>
  </si>
  <si>
    <t>3485286142632529</t>
  </si>
  <si>
    <t>MLB6572561294</t>
  </si>
  <si>
    <t>U3888452464</t>
  </si>
  <si>
    <t>DPX3043772175</t>
  </si>
  <si>
    <t>Top Coat Diamante Real Love 10ml Brilho Espelhado Start -</t>
  </si>
  <si>
    <t>8911455508547794</t>
  </si>
  <si>
    <t>MLB6572563082</t>
  </si>
  <si>
    <t>U3888457244</t>
  </si>
  <si>
    <t>DPX9550072807</t>
  </si>
  <si>
    <t>Gel De Alongamento Sculpting Gel 22 Real Love 30ml -</t>
  </si>
  <si>
    <t>8126385508521617</t>
  </si>
  <si>
    <t>MLB6572563448</t>
  </si>
  <si>
    <t>U3877592417</t>
  </si>
  <si>
    <t>DPX5293251879</t>
  </si>
  <si>
    <t>Real Love Gel De Alongamento Reconstrutor Hard 5 Nude 15ml</t>
  </si>
  <si>
    <t>7440504350122577</t>
  </si>
  <si>
    <t>MLB6572569480</t>
  </si>
  <si>
    <t>U3877570417</t>
  </si>
  <si>
    <t>DPX5430588527</t>
  </si>
  <si>
    <t>Felicity Definitiva De Quiabo 2x1 Gratis Banho De Diamantes</t>
  </si>
  <si>
    <t>5041553389499535</t>
  </si>
  <si>
    <t>MLB6572570268</t>
  </si>
  <si>
    <t>U3877573645</t>
  </si>
  <si>
    <t>DPX2418998318</t>
  </si>
  <si>
    <t>Real Love Gel Alongamento De Unha 2 Pink Nude Refil 15g</t>
  </si>
  <si>
    <t>7771095851554770</t>
  </si>
  <si>
    <t>MLB6572570544</t>
  </si>
  <si>
    <t>U3888442520</t>
  </si>
  <si>
    <t>DPX5347140792</t>
  </si>
  <si>
    <t>Real Love Gel Alongamento Unha Led Light 30ml Anvisa N</t>
  </si>
  <si>
    <t>MLB6572581996</t>
  </si>
  <si>
    <t>U3877569839</t>
  </si>
  <si>
    <t>Blush Bastão Stick 4 Lua Neve Maquiagem</t>
  </si>
  <si>
    <t>4257882196670735</t>
  </si>
  <si>
    <t>MLB6572608046</t>
  </si>
  <si>
    <t>U3877573449</t>
  </si>
  <si>
    <t>DPX3447514575</t>
  </si>
  <si>
    <t>Real Love Gel Alongamento De Unha 1 Transparent Refil 15g</t>
  </si>
  <si>
    <t>7173291606049999</t>
  </si>
  <si>
    <t>MLB6572611132</t>
  </si>
  <si>
    <t>U3877586549</t>
  </si>
  <si>
    <t>DPX2938490230</t>
  </si>
  <si>
    <t>Touca De Silicone Para Reflexo Katy -</t>
  </si>
  <si>
    <t>8804358462990609</t>
  </si>
  <si>
    <t>MLB6572612958</t>
  </si>
  <si>
    <t>U3877589139</t>
  </si>
  <si>
    <t>DPX7958107179</t>
  </si>
  <si>
    <t>Real Love Gel De Alongamento Unha Com Glitter 7 Nude 15g</t>
  </si>
  <si>
    <t>MLB6572616552</t>
  </si>
  <si>
    <t>U3877597549</t>
  </si>
  <si>
    <t>Dafu Esmalte Em Gel 10ml Cor M007 Uv Led</t>
  </si>
  <si>
    <t>4241244904502546</t>
  </si>
  <si>
    <t>MLB6572652306</t>
  </si>
  <si>
    <t>U3877602183</t>
  </si>
  <si>
    <t>DPX3439672055</t>
  </si>
  <si>
    <t>Dafu Esmalte Em Gel 10ml Cor M037 Uv Led</t>
  </si>
  <si>
    <t>2270308053210769</t>
  </si>
  <si>
    <t>MLB6572653138</t>
  </si>
  <si>
    <t>U3888467632</t>
  </si>
  <si>
    <t>DPX9017699416</t>
  </si>
  <si>
    <t>Real Love Gel De Alongamento Com Glitter 4 Nude 15g</t>
  </si>
  <si>
    <t>5692660678691471</t>
  </si>
  <si>
    <t>MLB6572653692</t>
  </si>
  <si>
    <t>U3877604067</t>
  </si>
  <si>
    <t>DPX3832549833</t>
  </si>
  <si>
    <t>Dafu Esmalte Em Gel 3 Em 1 10ml Cor 40 Uv Led</t>
  </si>
  <si>
    <t>1124736195064979</t>
  </si>
  <si>
    <t>MLB6572654616</t>
  </si>
  <si>
    <t>U3877604837</t>
  </si>
  <si>
    <t>DPX3954646057</t>
  </si>
  <si>
    <t>Dafu Esmalte Em Gel 3 Em 1 10ml Cor 19 Uv Led</t>
  </si>
  <si>
    <t>8327637204359696</t>
  </si>
  <si>
    <t>MLB6572654882</t>
  </si>
  <si>
    <t>U3877605037</t>
  </si>
  <si>
    <t>DPX6923503933</t>
  </si>
  <si>
    <t>Dafu Esmalte Em Gel 3 Em 1 10ml Cor 14 Uv Led</t>
  </si>
  <si>
    <t>7837220683528913</t>
  </si>
  <si>
    <t>MLB6572655110</t>
  </si>
  <si>
    <t>U3877605237</t>
  </si>
  <si>
    <t>DPX2795066373</t>
  </si>
  <si>
    <t>Dafu Esmalte Em Gel 3 Em 1 10ml Cor 23 Uv Led</t>
  </si>
  <si>
    <t>7270715143156241</t>
  </si>
  <si>
    <t>MLB6572655304</t>
  </si>
  <si>
    <t>U3888472726</t>
  </si>
  <si>
    <t>DPX8909353882</t>
  </si>
  <si>
    <t>Dafu Esmalte Em Gel 3 Em 1 10ml Cor 28 Uv Led</t>
  </si>
  <si>
    <t>1923192920790608</t>
  </si>
  <si>
    <t>MLB6572655630</t>
  </si>
  <si>
    <t>U3888471622</t>
  </si>
  <si>
    <t>DPX7019475382</t>
  </si>
  <si>
    <t>Dafu Esmalte Em Gel 3 Em 1 10ml Cor 31 Uv Led</t>
  </si>
  <si>
    <t>2139487561010003</t>
  </si>
  <si>
    <t>MLB6572664190</t>
  </si>
  <si>
    <t>U3888467106</t>
  </si>
  <si>
    <t>DPX5727626172</t>
  </si>
  <si>
    <t xml:space="preserve">Gel De Alongamento 01 Limão - Linha Light Aromatizado 15ml </t>
  </si>
  <si>
    <t>3392825604474707</t>
  </si>
  <si>
    <t>MLB6572664978</t>
  </si>
  <si>
    <t>U3877601671</t>
  </si>
  <si>
    <t>DPX4021359478</t>
  </si>
  <si>
    <t>Real Love Gel De Alongamento Com Glitter 3 Pink 15g</t>
  </si>
  <si>
    <t>7464005109976272</t>
  </si>
  <si>
    <t>MLB6572669074</t>
  </si>
  <si>
    <t>U3888475846</t>
  </si>
  <si>
    <t>DPX4376981350</t>
  </si>
  <si>
    <t>Dafu Esmalte Em Gel Cor 40 Uv Led</t>
  </si>
  <si>
    <t>5445311709171921</t>
  </si>
  <si>
    <t>MLB6572671544</t>
  </si>
  <si>
    <t>U3888482196</t>
  </si>
  <si>
    <t>DPX9405828620</t>
  </si>
  <si>
    <t>Dafu Esmalte Em Gel Cor 80 Uv Led</t>
  </si>
  <si>
    <t>MLB6572679752</t>
  </si>
  <si>
    <t>Keratina Liquida Kaizen 150ml</t>
  </si>
  <si>
    <t>2128601247266192</t>
  </si>
  <si>
    <t>MLB6572706064</t>
  </si>
  <si>
    <t>U3877689035</t>
  </si>
  <si>
    <t>DPX9470333277</t>
  </si>
  <si>
    <t>Máscara De Reconstrução Efeito Teia Maranata Hair 1kg</t>
  </si>
  <si>
    <t>8256280352590542</t>
  </si>
  <si>
    <t>MLB6572712028</t>
  </si>
  <si>
    <t>U3888470230</t>
  </si>
  <si>
    <t>DPX9224397342</t>
  </si>
  <si>
    <t>Dafu Esmaltação Em Gel Esmalte Em Gel Coleção Nevada 10m</t>
  </si>
  <si>
    <t>7468870129853456</t>
  </si>
  <si>
    <t>MLB6572712196</t>
  </si>
  <si>
    <t>U3888469094</t>
  </si>
  <si>
    <t>DPX3696902263</t>
  </si>
  <si>
    <t>Dafu Esmalte Em Gel 3 Em 1 10ml Cor 16 Uv Led</t>
  </si>
  <si>
    <t>4047869021911122</t>
  </si>
  <si>
    <t>MLB6572715646</t>
  </si>
  <si>
    <t>U3888476606</t>
  </si>
  <si>
    <t>DPX1174976440</t>
  </si>
  <si>
    <t>Dafu Esmalte Em Gel Tons De Marrom 4 Uv Led</t>
  </si>
  <si>
    <t>8635770636933521</t>
  </si>
  <si>
    <t>MLB6572717926</t>
  </si>
  <si>
    <t>U3877616235</t>
  </si>
  <si>
    <t>DPX6074256786</t>
  </si>
  <si>
    <t>Dafu Esmalte Em Gel Cor 81 Uv Led</t>
  </si>
  <si>
    <t>8498939061915344</t>
  </si>
  <si>
    <t>MLB6572720202</t>
  </si>
  <si>
    <t>U3877619769</t>
  </si>
  <si>
    <t>DPX3081389114</t>
  </si>
  <si>
    <t>Gloss Lábial Coffe Lips Sabor Cappuccino Phállebeauty</t>
  </si>
  <si>
    <t>7687987057996626</t>
  </si>
  <si>
    <t>MLB6572720642</t>
  </si>
  <si>
    <t>U3888485472</t>
  </si>
  <si>
    <t>DPX4923033614</t>
  </si>
  <si>
    <t>Dafu Kit Coleção 12 Esmaltes Em Gel Uv Led -tons De Vermelho</t>
  </si>
  <si>
    <t>6166563287078735</t>
  </si>
  <si>
    <t>MLB6572721510</t>
  </si>
  <si>
    <t>U3888487704</t>
  </si>
  <si>
    <t>DPX7715244020</t>
  </si>
  <si>
    <t>Modelador De Sobrancelhas Charming Lua E Neve -</t>
  </si>
  <si>
    <t>5002134228791441</t>
  </si>
  <si>
    <t>MLB6572724026</t>
  </si>
  <si>
    <t>U3888494228</t>
  </si>
  <si>
    <t>DPX6393852803</t>
  </si>
  <si>
    <t>Eaê Cosméticos Kit Morango Do Amor 2 Passos Ultra Hidratação</t>
  </si>
  <si>
    <t>5091493123534416</t>
  </si>
  <si>
    <t>MLB6572725224</t>
  </si>
  <si>
    <t>U3877615315</t>
  </si>
  <si>
    <t>DPX3910550907</t>
  </si>
  <si>
    <t>Dafu Esmalte Em Gel Cor 84 Uv Led</t>
  </si>
  <si>
    <t>MLB6572725588</t>
  </si>
  <si>
    <t>Dafu Esmalte Em Gel Cor 90 Uv Led</t>
  </si>
  <si>
    <t>1530422008521426</t>
  </si>
  <si>
    <t>MLB6572726456</t>
  </si>
  <si>
    <t>U3877620061</t>
  </si>
  <si>
    <t>DPX5462358410</t>
  </si>
  <si>
    <t>Real Love Gel Refil Nude 5 15ml Nude 5 Profissional</t>
  </si>
  <si>
    <t>5</t>
  </si>
  <si>
    <t>1680078893944018</t>
  </si>
  <si>
    <t>MLB6572727290</t>
  </si>
  <si>
    <t>U3888486682</t>
  </si>
  <si>
    <t>DPX2715107546</t>
  </si>
  <si>
    <t>Gloss Labial Phállebeauty Big Mouth Rosa Incolor Hidratante</t>
  </si>
  <si>
    <t>1849482421998419</t>
  </si>
  <si>
    <t>MLB6572727708</t>
  </si>
  <si>
    <t>U3877621281</t>
  </si>
  <si>
    <t>DPX5666044830</t>
  </si>
  <si>
    <t>Felicity Kit 6 Máscara Reconstrução Argila Branca 250</t>
  </si>
  <si>
    <t>8193613268269456</t>
  </si>
  <si>
    <t>MLB6572727894</t>
  </si>
  <si>
    <t>U3877621463</t>
  </si>
  <si>
    <t>DPX5062687712</t>
  </si>
  <si>
    <t>Máscara Ultra Hidratante Morango Do Amor Eaê Cosméticos 5</t>
  </si>
  <si>
    <t>6799797127364752</t>
  </si>
  <si>
    <t>MLB6572730570</t>
  </si>
  <si>
    <t>U3877625939</t>
  </si>
  <si>
    <t>DPX4955727826</t>
  </si>
  <si>
    <t>Kit Escova Organica Chora Não Coleguinha Lisstreme 6em1 500</t>
  </si>
  <si>
    <t>1260801039222868</t>
  </si>
  <si>
    <t>MLB6572742798</t>
  </si>
  <si>
    <t>U3888518214</t>
  </si>
  <si>
    <t>DPX3474214656VAR6</t>
  </si>
  <si>
    <t>Sombra Para Sobrancelhas Duo Brow Perfection  - Cor: 09 E 10</t>
  </si>
  <si>
    <t>7255974524008271</t>
  </si>
  <si>
    <t>MLB6572743342</t>
  </si>
  <si>
    <t>U3888517324</t>
  </si>
  <si>
    <t>DPX9947667802</t>
  </si>
  <si>
    <t>Gloss Labial De Chocolate Brilhante Hidratação Phallebeaut</t>
  </si>
  <si>
    <t>311381214746129</t>
  </si>
  <si>
    <t>MLB6572743816</t>
  </si>
  <si>
    <t>U3888519250</t>
  </si>
  <si>
    <t>DPX8670052736</t>
  </si>
  <si>
    <t>Pó Solto Finalizador Honey Finish Dapop 15g -</t>
  </si>
  <si>
    <t>3429194147208082</t>
  </si>
  <si>
    <t>MLB6572744052</t>
  </si>
  <si>
    <t>U3888520560</t>
  </si>
  <si>
    <t>DPX7643845498</t>
  </si>
  <si>
    <t>Pó Facial Solto Finalizador Cor Pêssego Dapop -</t>
  </si>
  <si>
    <t>2962702638181585</t>
  </si>
  <si>
    <t>MLB6572754218</t>
  </si>
  <si>
    <t>U3877652161</t>
  </si>
  <si>
    <t>DPX3474214656VAR5</t>
  </si>
  <si>
    <t>Sombra Para Sobrancelhas Duo Brow Perfection  - Cor: 07 E 08</t>
  </si>
  <si>
    <t>8949780804753809</t>
  </si>
  <si>
    <t>MLB6572754252</t>
  </si>
  <si>
    <t>U3877652197</t>
  </si>
  <si>
    <t>DPX3474214656VAR3</t>
  </si>
  <si>
    <t>Sombra Para Sobrancelhas Duo Brow Perfection  - Cor: 03 E 04</t>
  </si>
  <si>
    <t>879528365139602</t>
  </si>
  <si>
    <t>MLB6572755710</t>
  </si>
  <si>
    <t>U3888519692</t>
  </si>
  <si>
    <t>DPX7917455130</t>
  </si>
  <si>
    <t>Mascara De Cilios Super Volume Sarah's Beauty -</t>
  </si>
  <si>
    <t>2268258889165777</t>
  </si>
  <si>
    <t>MLB6572761338</t>
  </si>
  <si>
    <t>U3877667315</t>
  </si>
  <si>
    <t>DPX3052505966</t>
  </si>
  <si>
    <t>Lip Gloss Cristal Magico Vivai Reage - Ph Transparente</t>
  </si>
  <si>
    <t>MLB6572762190</t>
  </si>
  <si>
    <t>527927833748560</t>
  </si>
  <si>
    <t>MLB6572767276</t>
  </si>
  <si>
    <t>U3877666217</t>
  </si>
  <si>
    <t>DPX3475899645</t>
  </si>
  <si>
    <t>Primer Facial Pure Skin Vivai 30ml -</t>
  </si>
  <si>
    <t>3612220839772435</t>
  </si>
  <si>
    <t>MLB6572768462</t>
  </si>
  <si>
    <t>U3888533054</t>
  </si>
  <si>
    <t>DPX3971777655</t>
  </si>
  <si>
    <t>Lápis 2 Em 1 Delineador Preto Branco - Apontador | Vivai</t>
  </si>
  <si>
    <t>4444581404118545</t>
  </si>
  <si>
    <t>MLB6572770708</t>
  </si>
  <si>
    <t>U3877673973</t>
  </si>
  <si>
    <t>DPX5149324789</t>
  </si>
  <si>
    <t>Dafu Kit 7 Esmalte Em Gel Da 3 Em1 Uv Led</t>
  </si>
  <si>
    <t>MLB6572771420</t>
  </si>
  <si>
    <t>7408347553702607</t>
  </si>
  <si>
    <t>MLB6572774646</t>
  </si>
  <si>
    <t>U3877680251</t>
  </si>
  <si>
    <t>DPX2811876588</t>
  </si>
  <si>
    <t>Primer Não Ácido Linha Light Unhas De Gel Real Love 8ml -</t>
  </si>
  <si>
    <t>4208482461610387</t>
  </si>
  <si>
    <t>MLB6572790180</t>
  </si>
  <si>
    <t>U3877670591</t>
  </si>
  <si>
    <t>DPX8923475330</t>
  </si>
  <si>
    <t>Dafu Kit 5 Esmalte 3 Em 1 Tons De Marrom Uv Led</t>
  </si>
  <si>
    <t>3618755353220625</t>
  </si>
  <si>
    <t>MLB6572790446</t>
  </si>
  <si>
    <t>U3888538190</t>
  </si>
  <si>
    <t>DPX4307243452</t>
  </si>
  <si>
    <t>Dafu Kit 4 Esmalte 3 Em 1 Tons De Marrom Uv Led</t>
  </si>
  <si>
    <t>2019023369731856</t>
  </si>
  <si>
    <t>MLB6572795982</t>
  </si>
  <si>
    <t>U3877682415</t>
  </si>
  <si>
    <t>DPX6643231276</t>
  </si>
  <si>
    <t>Progressiva Let Me Be Supreme Liss Control Sh+ Mask 2x500ml</t>
  </si>
  <si>
    <t>6845307310411857</t>
  </si>
  <si>
    <t>MLB6572816830</t>
  </si>
  <si>
    <t>U3877694567</t>
  </si>
  <si>
    <t>DPX2275557987</t>
  </si>
  <si>
    <t>Let Me Be A Melhor Progressiva Matizadora Para Loiras 1l -</t>
  </si>
  <si>
    <t>MLB6572823544</t>
  </si>
  <si>
    <t>U3877706941</t>
  </si>
  <si>
    <t>Dafu Esmalte Em Gel 10ml Cor M079 Uv Led</t>
  </si>
  <si>
    <t>8950043070494992</t>
  </si>
  <si>
    <t>MLB6572824206</t>
  </si>
  <si>
    <t>U3888572854</t>
  </si>
  <si>
    <t>DPX6681532858</t>
  </si>
  <si>
    <t>Dafu Esmalte Em Gel 10ml Cor M058 Uv Led</t>
  </si>
  <si>
    <t>1602256587179475</t>
  </si>
  <si>
    <t>MLB6572824488</t>
  </si>
  <si>
    <t>U3888576110</t>
  </si>
  <si>
    <t>DPX6140665832</t>
  </si>
  <si>
    <t>Dafu Esmalte Em Gel 10ml Cor M056 Uv Led</t>
  </si>
  <si>
    <t>6662091873786639</t>
  </si>
  <si>
    <t>MLB6572825014</t>
  </si>
  <si>
    <t>U3888573818</t>
  </si>
  <si>
    <t>DPX3015411710</t>
  </si>
  <si>
    <t>Dafu Esmalte Em Gel 10ml Cor M049 Uv Led</t>
  </si>
  <si>
    <t>253872099993361</t>
  </si>
  <si>
    <t>MLB6572826306</t>
  </si>
  <si>
    <t>U3888578370</t>
  </si>
  <si>
    <t>DPX6114702068</t>
  </si>
  <si>
    <t>Dafu Esmalte Em Gel Cor 72 Uv Led</t>
  </si>
  <si>
    <t>6998879332144785</t>
  </si>
  <si>
    <t>MLB6572829374</t>
  </si>
  <si>
    <t>U3877697167</t>
  </si>
  <si>
    <t>DPX5029874385</t>
  </si>
  <si>
    <t>Real Love Gel Sculping Light Uv Led Alongamento De Unha 15ml</t>
  </si>
  <si>
    <t>7163723272295761</t>
  </si>
  <si>
    <t>MLB6572834226</t>
  </si>
  <si>
    <t>U3888571010</t>
  </si>
  <si>
    <t>DPX3671287165</t>
  </si>
  <si>
    <t>Tesoura Ponta Redonda Dafu -</t>
  </si>
  <si>
    <t>2307812448829010</t>
  </si>
  <si>
    <t>MLB6572834560</t>
  </si>
  <si>
    <t>U3877706721</t>
  </si>
  <si>
    <t>DPX5551301634</t>
  </si>
  <si>
    <t>Pincel Espanador De Unha Rosa Dafu -</t>
  </si>
  <si>
    <t>1527037142383122</t>
  </si>
  <si>
    <t>MLB6572857672</t>
  </si>
  <si>
    <t>U3888577496</t>
  </si>
  <si>
    <t>DPX9544991647</t>
  </si>
  <si>
    <t>Dafu Esmalte Em Gel Cor 74 Uv Led</t>
  </si>
  <si>
    <t>457007361446673</t>
  </si>
  <si>
    <t>MLB6572877612</t>
  </si>
  <si>
    <t>U3877734637</t>
  </si>
  <si>
    <t>DPX1854430568</t>
  </si>
  <si>
    <t>Dafu Esmalte Em Gel Tons De Marrom 8 Uv Led</t>
  </si>
  <si>
    <t>1762880417213331</t>
  </si>
  <si>
    <t>MLB6572881214</t>
  </si>
  <si>
    <t>U3888602740</t>
  </si>
  <si>
    <t>DPX9947084974</t>
  </si>
  <si>
    <t>Dafu Esmalte Em Gel Cor 60 Uv Led</t>
  </si>
  <si>
    <t>MLB6572881896</t>
  </si>
  <si>
    <t>U3888604080</t>
  </si>
  <si>
    <t>Dafu Esmalte Em Gel Cor 49 Uv Led</t>
  </si>
  <si>
    <t>5350056955615887</t>
  </si>
  <si>
    <t>MLB6572882346</t>
  </si>
  <si>
    <t>U3888603608</t>
  </si>
  <si>
    <t>DPX5410429299</t>
  </si>
  <si>
    <t>Dafu Esmalte Em Gel Cor 45 Uv Led</t>
  </si>
  <si>
    <t>3911288683015120</t>
  </si>
  <si>
    <t>MLB6572885536</t>
  </si>
  <si>
    <t>U3877746775</t>
  </si>
  <si>
    <t>DPX4220338909</t>
  </si>
  <si>
    <t>Lip Oil Bomb Brilhante Cor 51 Max Love 5ml 51 -</t>
  </si>
  <si>
    <t>MLB6572907248</t>
  </si>
  <si>
    <t>U3877737831</t>
  </si>
  <si>
    <t>Dafu Esmalte Em Gel Cor 44 Uv Led</t>
  </si>
  <si>
    <t>MLB6572907430</t>
  </si>
  <si>
    <t>U3877739971</t>
  </si>
  <si>
    <t>Dafu Esmalte Em Gel Cor 43 Uv Led</t>
  </si>
  <si>
    <t>1765901897894162</t>
  </si>
  <si>
    <t>MLB6572907694</t>
  </si>
  <si>
    <t>U3877739421</t>
  </si>
  <si>
    <t>DPX5812132223</t>
  </si>
  <si>
    <t>Dafu Esmalte Em Gel Cor 15 Uv Led</t>
  </si>
  <si>
    <t>MLB6572908020</t>
  </si>
  <si>
    <t>Blush Bastão Stick 5 Lua Neve Maquiagem</t>
  </si>
  <si>
    <t>544896913694608</t>
  </si>
  <si>
    <t>MLB6572909062</t>
  </si>
  <si>
    <t>U3888610214</t>
  </si>
  <si>
    <t>DPX6850958575</t>
  </si>
  <si>
    <t>Lip Gloss Hidra Volume Vivai -</t>
  </si>
  <si>
    <t>6473756815715665</t>
  </si>
  <si>
    <t>MLB6572909090</t>
  </si>
  <si>
    <t>U3877742933</t>
  </si>
  <si>
    <t>DPX6850958575_VAR_02</t>
  </si>
  <si>
    <t>Lip Gloss Hidra Volume Vivai - Cor: 02</t>
  </si>
  <si>
    <t>8992310600241742</t>
  </si>
  <si>
    <t>MLB6572932996</t>
  </si>
  <si>
    <t>U3888612480</t>
  </si>
  <si>
    <t>DPX6773313631</t>
  </si>
  <si>
    <t>Lip Tint Metalizado Cor 530 Max Love -</t>
  </si>
  <si>
    <t>MLB6572965008</t>
  </si>
  <si>
    <t>Kit Com 6 Mascara Reconstrução Argila Branca Felicity 250</t>
  </si>
  <si>
    <t>MLB6574912928</t>
  </si>
  <si>
    <t>Liso No Chuveiro Mascara Hidratante Liso Absoluto 250g</t>
  </si>
  <si>
    <t>MLB6574917542</t>
  </si>
  <si>
    <t>Sérum Facial Hidratante Vitamina C Ludurana Todo Tipo De Pele Dia/noite</t>
  </si>
  <si>
    <t>MLB6574923810</t>
  </si>
  <si>
    <t>Banho De Ouro Rofer 1kg Recuperação De Cabelos Danificados</t>
  </si>
  <si>
    <t>MLB6598144780</t>
  </si>
  <si>
    <t>Creme Hidratante Corporal Loção Soul Flower Cosméticos 24 Floral</t>
  </si>
  <si>
    <t>MLB6600837024</t>
  </si>
  <si>
    <t>Mascara Mousse Nutrição Total Maranata Hair 1k</t>
  </si>
  <si>
    <t>MLB6605285530</t>
  </si>
  <si>
    <t>Lapis Delineador Colorido Para Olhos Pink 21 Colors For You</t>
  </si>
  <si>
    <t>MLB6605286158</t>
  </si>
  <si>
    <t>Lip Tint Metalizado Cor 530 Max Love Rosa-claro</t>
  </si>
  <si>
    <t>MLB6605288876</t>
  </si>
  <si>
    <t>MLB6605288952</t>
  </si>
  <si>
    <t>Mousse Micelar Oleosidade Espuma De Limpeza Facial 150ml</t>
  </si>
  <si>
    <t>MLB6605317824</t>
  </si>
  <si>
    <t>Escova De Cabelo Polvo Cores Cabelo Cachos Rosa-claro</t>
  </si>
  <si>
    <t>MLB6605322396</t>
  </si>
  <si>
    <t>Paleta Quarteto De Blush Ludurana 4 Cores Matte Vegano</t>
  </si>
  <si>
    <t>MLB6605330676</t>
  </si>
  <si>
    <t>Base Liquida Matte Perfect Cover Vivai 30ml - Cor 07</t>
  </si>
  <si>
    <t>MLB6605356846</t>
  </si>
  <si>
    <t>Melhor Btox Para Cabelo Sem Formol Argila Branca Felicity</t>
  </si>
  <si>
    <t>MLB6605368398</t>
  </si>
  <si>
    <t>Gel Construtor De Unhas Real Love Glitter Pink Nude Light Para Led E Uv Rosa-pálido</t>
  </si>
  <si>
    <t>MLB6605368598</t>
  </si>
  <si>
    <t>Blur Primer The New Skin Secret Pink 21</t>
  </si>
  <si>
    <t>MLB6605369152</t>
  </si>
  <si>
    <t>Esmalte Em Gel Dafu 10ml Corm079</t>
  </si>
  <si>
    <t>MLB6605369700</t>
  </si>
  <si>
    <t>Base Líquida Efeito Matte Kyràv Cor 02</t>
  </si>
  <si>
    <t>5098589481651727</t>
  </si>
  <si>
    <t>MLB6605857068</t>
  </si>
  <si>
    <t>U3902619736</t>
  </si>
  <si>
    <t>DPX17759605361407-kit</t>
  </si>
  <si>
    <t>Kit Real Love Unha De Gel Completo Com Primer E Top Coat</t>
  </si>
  <si>
    <t>MLB6607139120</t>
  </si>
  <si>
    <t>Corretivo Liquido Feels Ruby Rose T40</t>
  </si>
  <si>
    <t>MLB6623998568</t>
  </si>
  <si>
    <t>Máscara Com Você Biotina Hidratação Intensiva 15kg</t>
  </si>
  <si>
    <t>MLB6623998902</t>
  </si>
  <si>
    <t>Kit Lapis Labial Pink 21 Lapis Para Contorno Labial C/12 Diversas Cores</t>
  </si>
  <si>
    <t>MLB6624023286</t>
  </si>
  <si>
    <t>Esmalte Em Gel 3 Em 1 - 10ml Dafu Cor:05 Nude</t>
  </si>
  <si>
    <t>MLB6624023344</t>
  </si>
  <si>
    <t>Sabonete Intimo Soul Cosmeticos - 200ml</t>
  </si>
  <si>
    <t>MLB6624024000</t>
  </si>
  <si>
    <t>Mousse Micelar Facial Soul Babalu Uva 150ml</t>
  </si>
  <si>
    <t>MLB6624024040</t>
  </si>
  <si>
    <t>7796302220772242</t>
  </si>
  <si>
    <t>MLB6647616696</t>
  </si>
  <si>
    <t>U3918578126</t>
  </si>
  <si>
    <t>DPX4496121317</t>
  </si>
  <si>
    <t>Esmalte Em Gel Ponta Fina Line Art Efeit Spider Glitter Dafu</t>
  </si>
  <si>
    <t>2318366314305937</t>
  </si>
  <si>
    <t>MLB6647672630</t>
  </si>
  <si>
    <t>U3907086009</t>
  </si>
  <si>
    <t>Broca De Cerâmica Profissional Unha Flame (f) Vermelho -</t>
  </si>
  <si>
    <t>6901776925729168</t>
  </si>
  <si>
    <t>MLB6647675010</t>
  </si>
  <si>
    <t>U3907102239</t>
  </si>
  <si>
    <t>DPX9849728538</t>
  </si>
  <si>
    <t>Vara Magnética 5em1 Unha Efeito Olho Gato -</t>
  </si>
  <si>
    <t>MLB6647676342</t>
  </si>
  <si>
    <t>MLB6647679486</t>
  </si>
  <si>
    <t>U3918609464</t>
  </si>
  <si>
    <t>Esmalte Em Gel Dafu 10ml Cor:m058 -</t>
  </si>
  <si>
    <t>8837332256068561</t>
  </si>
  <si>
    <t>MLB6647679940</t>
  </si>
  <si>
    <t>U3918614682</t>
  </si>
  <si>
    <t>DPX4806659679</t>
  </si>
  <si>
    <t>Esmalte Em Gel Dafu 10ml Cor:m050 -</t>
  </si>
  <si>
    <t>7017756947324177</t>
  </si>
  <si>
    <t>MLB6647680288</t>
  </si>
  <si>
    <t>U3918619246</t>
  </si>
  <si>
    <t>DPX8198553264</t>
  </si>
  <si>
    <t>Esmalte Em Gel Dafu 10ml Cor:m040 -</t>
  </si>
  <si>
    <t>MLB6647680478</t>
  </si>
  <si>
    <t>U3907142901</t>
  </si>
  <si>
    <t>Esmalte Em Gel Dafu 10ml Cor:m036 -</t>
  </si>
  <si>
    <t>MLB6647680686</t>
  </si>
  <si>
    <t>U3907145405</t>
  </si>
  <si>
    <t>Esmalte Em Gel Dafu 10ml Cor:m026 -</t>
  </si>
  <si>
    <t>MLB6647680962</t>
  </si>
  <si>
    <t>U3918626382</t>
  </si>
  <si>
    <t>Esmalte Em Gel Dafu 10ml Cor:m021 -</t>
  </si>
  <si>
    <t>8357484406325710</t>
  </si>
  <si>
    <t>MLB6647681610</t>
  </si>
  <si>
    <t>U3907152603</t>
  </si>
  <si>
    <t>DPX3544377866</t>
  </si>
  <si>
    <t>Esmalte Em Gel Dafu 10ml Cor:m017 -</t>
  </si>
  <si>
    <t>5565791450061521</t>
  </si>
  <si>
    <t>MLB6647682118</t>
  </si>
  <si>
    <t>U3907155773</t>
  </si>
  <si>
    <t>DPX4678126018</t>
  </si>
  <si>
    <t>Esmalte Em Gel Dafu 10ml Cor:m009 -</t>
  </si>
  <si>
    <t>5758208460815311</t>
  </si>
  <si>
    <t>MLB6647709116</t>
  </si>
  <si>
    <t>U3907088431</t>
  </si>
  <si>
    <t>DPX1502432404</t>
  </si>
  <si>
    <t>Ímã Magnético 3d Para Arte De Unha Real Love -</t>
  </si>
  <si>
    <t>MLB6647710584</t>
  </si>
  <si>
    <t>U3918575846</t>
  </si>
  <si>
    <t>Kit C/12 Esmaltes 3em1 Nude 5ml Dafu -</t>
  </si>
  <si>
    <t>3210921635527251</t>
  </si>
  <si>
    <t>MLB6647711866</t>
  </si>
  <si>
    <t>U3907105849</t>
  </si>
  <si>
    <t>DPX6805493190</t>
  </si>
  <si>
    <t>Kit C/3 Pinceis Finos Nail Decoração Dafu -</t>
  </si>
  <si>
    <t>MLB6647715358</t>
  </si>
  <si>
    <t>U3907129725</t>
  </si>
  <si>
    <t>Esmalte Em Gel Dafu 10ml Cor:m060 -</t>
  </si>
  <si>
    <t>8012036021068241</t>
  </si>
  <si>
    <t>MLB6647715750</t>
  </si>
  <si>
    <t>U3907133415</t>
  </si>
  <si>
    <t>DPX2683416488</t>
  </si>
  <si>
    <t>Esmalte Em Gel Dafu 10ml Cor:m055 -</t>
  </si>
  <si>
    <t>MLB6647716474</t>
  </si>
  <si>
    <t>U3907142463</t>
  </si>
  <si>
    <t>Esmalte Em Gel Dafu 10ml Cor:m037 -</t>
  </si>
  <si>
    <t>MLB6647716612</t>
  </si>
  <si>
    <t>U3918622576</t>
  </si>
  <si>
    <t>Esmalte Em Gel Dafu 10ml Cor:m028 -</t>
  </si>
  <si>
    <t>5805854444604368</t>
  </si>
  <si>
    <t>MLB6647717566</t>
  </si>
  <si>
    <t>U3907152163</t>
  </si>
  <si>
    <t>DPX8449051729</t>
  </si>
  <si>
    <t>Esmalte Em Gel Dafu 10ml Cor:m018 -</t>
  </si>
  <si>
    <t>3610628791196945</t>
  </si>
  <si>
    <t>MLB6647718948</t>
  </si>
  <si>
    <t>U3918640018</t>
  </si>
  <si>
    <t>DPX5848604599</t>
  </si>
  <si>
    <t>Esmalte Em Gel Dafu Nova Embalagem Cor 98 -</t>
  </si>
  <si>
    <t>MLB6648656346</t>
  </si>
  <si>
    <t>U3907571339</t>
  </si>
  <si>
    <t>Esmalte Em Gel 3 Em 1 - 10ml Dafu Cor:20 -</t>
  </si>
  <si>
    <t>6761263903789584</t>
  </si>
  <si>
    <t>MLB6648656742</t>
  </si>
  <si>
    <t>U3919056410</t>
  </si>
  <si>
    <t>DPX2773150999</t>
  </si>
  <si>
    <t>Esmalte Em Gel 3 Em 1 - 10ml Dafu Cor:15 -</t>
  </si>
  <si>
    <t>4828698163329618</t>
  </si>
  <si>
    <t>MLB6648656910</t>
  </si>
  <si>
    <t>U3919062576</t>
  </si>
  <si>
    <t>DPX9007971733</t>
  </si>
  <si>
    <t>Esmalte Em Gel Dafu Nova Embalagem Cor 42 -</t>
  </si>
  <si>
    <t>MLB6648657050</t>
  </si>
  <si>
    <t>U3919064810</t>
  </si>
  <si>
    <t>Esmalte Em Gel Dafu Nova Embalagem Cor 39 -</t>
  </si>
  <si>
    <t>MLB6648657402</t>
  </si>
  <si>
    <t>U3919069236</t>
  </si>
  <si>
    <t>Esmalte Em Gel Dafu Nova Embalagem Cor 37 -</t>
  </si>
  <si>
    <t>2059968877922128</t>
  </si>
  <si>
    <t>MLB6648845070</t>
  </si>
  <si>
    <t>U3919045526</t>
  </si>
  <si>
    <t>DPX6325757991</t>
  </si>
  <si>
    <t>Esmalte Em Gel 3 Em 1 - 10ml Dafu Cor:22 -</t>
  </si>
  <si>
    <t>MLB6648845648</t>
  </si>
  <si>
    <t>U3919060230</t>
  </si>
  <si>
    <t>Esmalte Em Gel 3 Em 1 - 10ml Dafu Cor:14 -</t>
  </si>
  <si>
    <t>2455457105271123</t>
  </si>
  <si>
    <t>MLB6648850684</t>
  </si>
  <si>
    <t>U3919125794</t>
  </si>
  <si>
    <t>DPX6993822144</t>
  </si>
  <si>
    <t>Esmalte Em Gel Dafu Nova Embalagem Cor: 21 -</t>
  </si>
  <si>
    <t>MLB6648850974</t>
  </si>
  <si>
    <t>U3907651181</t>
  </si>
  <si>
    <t>Esmalte Em Gel Dafu Nova Embalagem Cor 17 -</t>
  </si>
  <si>
    <t>MLB6648972496</t>
  </si>
  <si>
    <t>U3907581405</t>
  </si>
  <si>
    <t>Esmalte Em Gel Dafu Nova Embalagem Cor 45 -</t>
  </si>
  <si>
    <t>MLB6648972794</t>
  </si>
  <si>
    <t>U3907588723</t>
  </si>
  <si>
    <t>Esmalte Em Gel 3 Em 1 - 10ml Dafu Cor:10 -</t>
  </si>
  <si>
    <t>MLB6648973030</t>
  </si>
  <si>
    <t>U3907590153</t>
  </si>
  <si>
    <t>Esmalte Em Gel 3 Em 1 - 10ml Dafu Cor:09 -</t>
  </si>
  <si>
    <t>4571882157771473</t>
  </si>
  <si>
    <t>MLB6648973254</t>
  </si>
  <si>
    <t>U3919069640</t>
  </si>
  <si>
    <t>DPX4324497938</t>
  </si>
  <si>
    <t>Esmalte Em Gel Dafu Nova Embalagem Cor 36 -</t>
  </si>
  <si>
    <t>MLB6648973576</t>
  </si>
  <si>
    <t>U3907594907</t>
  </si>
  <si>
    <t>Esmalte Em Gel 3 Em 1 - 10ml Dafu Cor:07 -</t>
  </si>
  <si>
    <t>MLB6648974224</t>
  </si>
  <si>
    <t>U3907599017</t>
  </si>
  <si>
    <t>Esmalte Em Gel 3 Em 1 - 10ml Dafu Cor:02 -</t>
  </si>
  <si>
    <t>MLB6648977880</t>
  </si>
  <si>
    <t>U3919134338</t>
  </si>
  <si>
    <t>Esmalte Em Gel Dafu Nova Embalagem Cor 15 -</t>
  </si>
  <si>
    <t>7349528800213394</t>
  </si>
  <si>
    <t>MLB6648979470</t>
  </si>
  <si>
    <t>U3919150264</t>
  </si>
  <si>
    <t>DPX5538958323</t>
  </si>
  <si>
    <t>Esmalte Em Gel Dafu Nova Embalagem Cor 04 -</t>
  </si>
  <si>
    <t>MLB6648980178</t>
  </si>
  <si>
    <t>MLB6649101146</t>
  </si>
  <si>
    <t>MLB6649101186</t>
  </si>
  <si>
    <t>MLB6649101428</t>
  </si>
  <si>
    <t>MLB6649102000</t>
  </si>
  <si>
    <t>Base Stick Media Alta Cobertura Miss Rose - Cor N04</t>
  </si>
  <si>
    <t>2873372342711313</t>
  </si>
  <si>
    <t>MLB6649531230</t>
  </si>
  <si>
    <t>U3919230156</t>
  </si>
  <si>
    <t>DPX3332167744VAR4</t>
  </si>
  <si>
    <t>Lip Tower Matte Viva Vida Vivai - Cor: 03</t>
  </si>
  <si>
    <t>5060414713709328</t>
  </si>
  <si>
    <t>MLB6649531810</t>
  </si>
  <si>
    <t>U3877506089</t>
  </si>
  <si>
    <t>DPX7966161431</t>
  </si>
  <si>
    <t>Sérum Facial Hidratante Ludurana Rosa Mosqueta Para O Rosto</t>
  </si>
  <si>
    <t>2861420465067154</t>
  </si>
  <si>
    <t>MLB6649533996</t>
  </si>
  <si>
    <t>U3907777957</t>
  </si>
  <si>
    <t>DPX6081294347</t>
  </si>
  <si>
    <t>Max Love Prime Facial - Ácido Hialurônico-vitamina-c 30m</t>
  </si>
  <si>
    <t>1599488097095313</t>
  </si>
  <si>
    <t>MLB6649534084</t>
  </si>
  <si>
    <t>U3907778451</t>
  </si>
  <si>
    <t>DPX6477969586</t>
  </si>
  <si>
    <t xml:space="preserve">Sérum Primer Facial Max Love Rosa Mosqueta Nutre E Hidrata </t>
  </si>
  <si>
    <t>MLB6649534280</t>
  </si>
  <si>
    <t>U3919261550</t>
  </si>
  <si>
    <t>Caneta Delineadora Preta Lyrics Mystic -</t>
  </si>
  <si>
    <t>4852092538140883</t>
  </si>
  <si>
    <t>MLB6649538044</t>
  </si>
  <si>
    <t>U3877374217</t>
  </si>
  <si>
    <t>DPX6461397530VAR4</t>
  </si>
  <si>
    <t>Twinkle Touch Sombra Iluminador 2 Em 1 Pi - Cor: Pink Luster</t>
  </si>
  <si>
    <t>7346313774423057</t>
  </si>
  <si>
    <t>MLB6649538056</t>
  </si>
  <si>
    <t>U3888237556</t>
  </si>
  <si>
    <t>DPX6461397530VAR3</t>
  </si>
  <si>
    <t>Twinkle Touch Sombra Iluminador 2 Em 1 Pink  - Cor: Ice Glaw</t>
  </si>
  <si>
    <t>3004991886756562</t>
  </si>
  <si>
    <t>MLB6649538388</t>
  </si>
  <si>
    <t>U3919309452</t>
  </si>
  <si>
    <t>DPX3896515174</t>
  </si>
  <si>
    <t>Pomada Para Sobrancelhas Ruby Rose Extra Brow -</t>
  </si>
  <si>
    <t>2535540226301971</t>
  </si>
  <si>
    <t>MLB6649539662</t>
  </si>
  <si>
    <t>U3919319794</t>
  </si>
  <si>
    <t>DPX7019776682</t>
  </si>
  <si>
    <t>Base Liquida Vivai Perfect Cor 05 Bege Claro Matte - 30ml -</t>
  </si>
  <si>
    <t>MLB6649540050</t>
  </si>
  <si>
    <t>U3919323076</t>
  </si>
  <si>
    <t>Caneta Delineadora Para Sobrancelhas Pink 21 Castanho 02 -</t>
  </si>
  <si>
    <t>MLB6649540564</t>
  </si>
  <si>
    <t>9001202259023186</t>
  </si>
  <si>
    <t>MLB6649671892</t>
  </si>
  <si>
    <t>U3907765643</t>
  </si>
  <si>
    <t>DPX3394261391</t>
  </si>
  <si>
    <t>Paleta Sombras Matte Seu Estilo Ludurana Multicolor -</t>
  </si>
  <si>
    <t>153279348387345</t>
  </si>
  <si>
    <t>MLB6649672684</t>
  </si>
  <si>
    <t>U3877743801</t>
  </si>
  <si>
    <t>DPX4895945202</t>
  </si>
  <si>
    <t>Max Love Lip Oil Bomb Brilhante - Cor 53 53 -</t>
  </si>
  <si>
    <t>MLB6649673014</t>
  </si>
  <si>
    <t>MLB6649676546</t>
  </si>
  <si>
    <t>U3919303420</t>
  </si>
  <si>
    <t>Gloss Aumenta Volume Labial Hidratante Big Mouth Gold 4ml -</t>
  </si>
  <si>
    <t>MLB6649676670</t>
  </si>
  <si>
    <t>U3907826165</t>
  </si>
  <si>
    <t xml:space="preserve">Gloss Labial Aumenta Volume Big Mouth Rainbow Phállebeauty </t>
  </si>
  <si>
    <t>MLB6649676798</t>
  </si>
  <si>
    <t>6584779594886799</t>
  </si>
  <si>
    <t>MLB6649677478</t>
  </si>
  <si>
    <t>U3919312956</t>
  </si>
  <si>
    <t>DPX3896515174VAR5</t>
  </si>
  <si>
    <t>Pomada Para Sobrancelhas Ruby Rose Extra Brow - Cor: Sienna</t>
  </si>
  <si>
    <t>5250457090319312</t>
  </si>
  <si>
    <t>MLB6649679548</t>
  </si>
  <si>
    <t>U3907849129</t>
  </si>
  <si>
    <t>MLB6649680186</t>
  </si>
  <si>
    <t>U3919335940</t>
  </si>
  <si>
    <t>Lapis De Olho Retrátil Delineador Pink 21 Preto -</t>
  </si>
  <si>
    <t>MLB6649683256</t>
  </si>
  <si>
    <t>U3919356494</t>
  </si>
  <si>
    <t>Caneta Delineadora Para Sobrancelhas Pink 21 Á Prova D'agua</t>
  </si>
  <si>
    <t>6352570356348815</t>
  </si>
  <si>
    <t>MLB6649827584</t>
  </si>
  <si>
    <t>U3907830235</t>
  </si>
  <si>
    <t>DPX3896515174VAR3</t>
  </si>
  <si>
    <t>Pomada Para Sobrancelhas Ruby Rose Extra Brow - Cor: Russet</t>
  </si>
  <si>
    <t>5763666946344529</t>
  </si>
  <si>
    <t>MLB6649827594</t>
  </si>
  <si>
    <t>U3919309542</t>
  </si>
  <si>
    <t>DPX3896515174VAR4</t>
  </si>
  <si>
    <t>Pomada Para Sobrancelhas Ruby Rose Extra Brow - Cor: Sepia</t>
  </si>
  <si>
    <t>1190274677880210</t>
  </si>
  <si>
    <t>MLB6649827596</t>
  </si>
  <si>
    <t>U3919313022</t>
  </si>
  <si>
    <t>DPX3896515174VAR2</t>
  </si>
  <si>
    <t>Pomada Para Sobrancelhas Ruby Rose Extra Brow - Cor: Hazel</t>
  </si>
  <si>
    <t>3364753053102032</t>
  </si>
  <si>
    <t>MLB6649827752</t>
  </si>
  <si>
    <t>U3877526135</t>
  </si>
  <si>
    <t>DPX6999757997</t>
  </si>
  <si>
    <t>Base Stick Bastão Cremoso Perfect Blend By Ruby Rose -</t>
  </si>
  <si>
    <t>7085273049802257</t>
  </si>
  <si>
    <t>MLB6649827784</t>
  </si>
  <si>
    <t>U3888389720</t>
  </si>
  <si>
    <t>DPX6999757997VAR2</t>
  </si>
  <si>
    <t>Base Stick Bastão Cremoso Perfect Blend By Ruby  - Cor: Fs1</t>
  </si>
  <si>
    <t>MLB6649829720</t>
  </si>
  <si>
    <t>U3907852619</t>
  </si>
  <si>
    <t>Corretivo Liquido Feels Ruby Rose -</t>
  </si>
  <si>
    <t>MLB6649833392</t>
  </si>
  <si>
    <t>U3907875237</t>
  </si>
  <si>
    <t>1304043221862097</t>
  </si>
  <si>
    <t>MLB6649908074</t>
  </si>
  <si>
    <t>U3907874821</t>
  </si>
  <si>
    <t>DPX2438829247</t>
  </si>
  <si>
    <t>Pó Translucido Pink All Day 1011 Vivai Rosa -</t>
  </si>
  <si>
    <t>MLB6650134240</t>
  </si>
  <si>
    <t>Caneta Delineadora Love Rain 2 In 1 Eyeliner -</t>
  </si>
  <si>
    <t>3509994978916435</t>
  </si>
  <si>
    <t>MLB6650376020</t>
  </si>
  <si>
    <t>U3877386685</t>
  </si>
  <si>
    <t>DPX8027170210</t>
  </si>
  <si>
    <t>Paleta De Sombras Color Beauty Love Lust Bobbi Rara 12 Cores</t>
  </si>
  <si>
    <t>MLB6650485354</t>
  </si>
  <si>
    <t>Mascara Stick Febella Limpeza Facial Anti Acne -</t>
  </si>
  <si>
    <t>8091346846477008</t>
  </si>
  <si>
    <t>MLB6650520086</t>
  </si>
  <si>
    <t>U3908095731</t>
  </si>
  <si>
    <t>DPX2641836019</t>
  </si>
  <si>
    <t>Máscara Para Cílios Febella Incolor - Biotina Vitamina C -</t>
  </si>
  <si>
    <t>8216387540086162</t>
  </si>
  <si>
    <t>MLB6650529002</t>
  </si>
  <si>
    <t>U3908135495</t>
  </si>
  <si>
    <t>DPX9050863305</t>
  </si>
  <si>
    <t>Lip Gloss Lábial Aozy Family Volume Hidratados Pompom -</t>
  </si>
  <si>
    <t>1794262107439570</t>
  </si>
  <si>
    <t>MLB6650585536</t>
  </si>
  <si>
    <t>U3908121127</t>
  </si>
  <si>
    <t>DPX3464436171</t>
  </si>
  <si>
    <t>Primer Facial True Skin Febella 30ml Suaviza Preenche Poros</t>
  </si>
  <si>
    <t>3416191607272531</t>
  </si>
  <si>
    <t>MLB6650587690</t>
  </si>
  <si>
    <t>U3877392533</t>
  </si>
  <si>
    <t>DPX6672717628</t>
  </si>
  <si>
    <t>Paleta De Sombras Bobbi Rara Glamou Luxe 13 Cores -</t>
  </si>
  <si>
    <t>2860308345587539</t>
  </si>
  <si>
    <t>MLB6650588030</t>
  </si>
  <si>
    <t>U3908132313</t>
  </si>
  <si>
    <t>DPX1954997131</t>
  </si>
  <si>
    <t xml:space="preserve">Lip Gloss Lábial Chocolate Moc Mallure Metalico C/chaveiro </t>
  </si>
  <si>
    <t>5289684575599954</t>
  </si>
  <si>
    <t>MLB6650676408</t>
  </si>
  <si>
    <t>U3908133397</t>
  </si>
  <si>
    <t>DPX7107887534</t>
  </si>
  <si>
    <t>Lip Oil Hidratante De Mel Lábial Wardabeauty C/chaveiro -</t>
  </si>
  <si>
    <t>7684252743170385</t>
  </si>
  <si>
    <t>MLB6650769340</t>
  </si>
  <si>
    <t>U3919689236</t>
  </si>
  <si>
    <t>8544782452301776</t>
  </si>
  <si>
    <t>MLB6650771480</t>
  </si>
  <si>
    <t>U3919699292</t>
  </si>
  <si>
    <t>DPX5917348994</t>
  </si>
  <si>
    <t>Gel De Alongamento De Unha 02 Nude Real Love 30ml -</t>
  </si>
  <si>
    <t>7438154069866321</t>
  </si>
  <si>
    <t>MLB6650773658</t>
  </si>
  <si>
    <t>U3919708344</t>
  </si>
  <si>
    <t>Gel Solido Para Alongamento Powder Gel 02 Nude Real Love 15g</t>
  </si>
  <si>
    <t>4540977111125137</t>
  </si>
  <si>
    <t>MLB6650774026</t>
  </si>
  <si>
    <t>U3908213345</t>
  </si>
  <si>
    <t>DPX5092844423</t>
  </si>
  <si>
    <t>Gel Hard De Alongamento De Unhas Pink Nude 2 Real Love -</t>
  </si>
  <si>
    <t>MLB6650776000</t>
  </si>
  <si>
    <t>U3908223503</t>
  </si>
  <si>
    <t>Ativo Definitiva De Quiabo Bio Organic Felicity 1l -</t>
  </si>
  <si>
    <t>MLB6650818980</t>
  </si>
  <si>
    <t>U3919700556</t>
  </si>
  <si>
    <t>Gel De Alongamento Para Unhas Cor 16 Nude Real Love 30ml Nud</t>
  </si>
  <si>
    <t>MLB6650819630</t>
  </si>
  <si>
    <t>U3919701794</t>
  </si>
  <si>
    <t>Gel Real Love 21 Renda Milky 30ml Led Uv -</t>
  </si>
  <si>
    <t>MLB6650822290</t>
  </si>
  <si>
    <t>U3919713664</t>
  </si>
  <si>
    <t>Kit Shampoo + Condicionador Biotina 1l Let Me Be -</t>
  </si>
  <si>
    <t>4608177355832658</t>
  </si>
  <si>
    <t>MLB6650823110</t>
  </si>
  <si>
    <t>U3919717418</t>
  </si>
  <si>
    <t>DPX5357081810</t>
  </si>
  <si>
    <t>Melhor Progressiva Sem Formol De Quiabo Hidratação -</t>
  </si>
  <si>
    <t>MLB6650825884</t>
  </si>
  <si>
    <t>8707869133372559</t>
  </si>
  <si>
    <t>MLB6650825984</t>
  </si>
  <si>
    <t>U3908247593</t>
  </si>
  <si>
    <t>DPX4773087800</t>
  </si>
  <si>
    <t>Máscara Reconstrutora Maracujá Do Amor Eaê Cosméticos 50</t>
  </si>
  <si>
    <t>MLB6650826388</t>
  </si>
  <si>
    <t>MLB6650827100</t>
  </si>
  <si>
    <t>U3919757764</t>
  </si>
  <si>
    <t>Kit - 05 Esmalte 3 Em 1 Dafu Tons De Cinza</t>
  </si>
  <si>
    <t>MLB6650857404</t>
  </si>
  <si>
    <t>U3919722054</t>
  </si>
  <si>
    <t>MLB6650859596</t>
  </si>
  <si>
    <t>8422095196729808</t>
  </si>
  <si>
    <t>MLB6650860472</t>
  </si>
  <si>
    <t>U3877669747</t>
  </si>
  <si>
    <t>DPX4978341156</t>
  </si>
  <si>
    <t>Máscara De Tratamento Capilar Eae Brazil Escolha A Sua 500g</t>
  </si>
  <si>
    <t>MLB6650860924</t>
  </si>
  <si>
    <t>U3919756848</t>
  </si>
  <si>
    <t>Kit - 05 Esmalte 3 Em 1 Dafu Tons De Marrom</t>
  </si>
  <si>
    <t>5317253757005330</t>
  </si>
  <si>
    <t>MLB6650865530</t>
  </si>
  <si>
    <t>U3888539782</t>
  </si>
  <si>
    <t>DPX3354642518</t>
  </si>
  <si>
    <t>Quarteto De Sombra Para Sobrancelhas Ruby Rose Cor 01 -</t>
  </si>
  <si>
    <t>1470559489089298</t>
  </si>
  <si>
    <t>MLB6650866926</t>
  </si>
  <si>
    <t>U3919796380</t>
  </si>
  <si>
    <t>DPX1375653899</t>
  </si>
  <si>
    <t>Hidratante Labial Gostinho De Chiclete Uva Babasoul -</t>
  </si>
  <si>
    <t>MLB6650894982</t>
  </si>
  <si>
    <t>U3919736742</t>
  </si>
  <si>
    <t>Agua Oxigenada Volume 20 Eaê Cosméticos 900ml -</t>
  </si>
  <si>
    <t>MLB6650895210</t>
  </si>
  <si>
    <t>MLB6650896766</t>
  </si>
  <si>
    <t>U3919757244</t>
  </si>
  <si>
    <t>Kit - 04 Esmalte 3 Em 1 Dafu Tons De Marrom</t>
  </si>
  <si>
    <t>MLB6650897094</t>
  </si>
  <si>
    <t>U3919760956</t>
  </si>
  <si>
    <t>Kit - 06 Esmalte Em Gel Rosa + Nude Da Dafu 3 Em1 5 Ml</t>
  </si>
  <si>
    <t>3460686328922128</t>
  </si>
  <si>
    <t>MLB6650898924</t>
  </si>
  <si>
    <t>U3908275115</t>
  </si>
  <si>
    <t>DPX6536271016</t>
  </si>
  <si>
    <t>Kit Esmaltes Em Gel Tons De Vermelho Cores Vibrantes Dafu -</t>
  </si>
  <si>
    <t>MLB6650901350</t>
  </si>
  <si>
    <t>U3908290701</t>
  </si>
  <si>
    <t>Esmalte Em Gel 3 Em 1 Real Love - 5ml Cor 01 -</t>
  </si>
  <si>
    <t>MLB6650901604</t>
  </si>
  <si>
    <t>U3919792258</t>
  </si>
  <si>
    <t>Base Líquida Facial Efeito Matte Kyràv Cor 04 -</t>
  </si>
  <si>
    <t>3039960788356817</t>
  </si>
  <si>
    <t>MLB6651050360</t>
  </si>
  <si>
    <t>U3908324563</t>
  </si>
  <si>
    <t>Difusor De Ar Katy Profissional -</t>
  </si>
  <si>
    <t>MLB6651050626</t>
  </si>
  <si>
    <t>MLB6651050770</t>
  </si>
  <si>
    <t>U3908328477</t>
  </si>
  <si>
    <t>Kit Escova Organica De Quiabo 0%formol Maranata 2x1l -</t>
  </si>
  <si>
    <t>MLB6651051360</t>
  </si>
  <si>
    <t>U3908333259</t>
  </si>
  <si>
    <t>Kit 3 Mascara Tonalizante Castanho Royal Felicity 500gr -</t>
  </si>
  <si>
    <t>MLB6666153776</t>
  </si>
  <si>
    <t>MLB6666153910</t>
  </si>
  <si>
    <t>MLB6666154066</t>
  </si>
  <si>
    <t>Kit Cauterização Glam Cauter 500ml Rofer Profissional</t>
  </si>
  <si>
    <t>MLB6666154154</t>
  </si>
  <si>
    <t>Máscara De Cílios Preta Super Firme À Prova Dágua Feb Preto</t>
  </si>
  <si>
    <t>MLB6666154278</t>
  </si>
  <si>
    <t>Ph Balancing Diamante Linha Pro 10 Ml Real Love Verde-claro</t>
  </si>
  <si>
    <t>MLB6666154686</t>
  </si>
  <si>
    <t>Real Love Gel De Alongamento De Unha Sculping 15ml Light Nude</t>
  </si>
  <si>
    <t>MLB6666154880</t>
  </si>
  <si>
    <t>Esmalte Em Gel Dafu 10ml Corm060 Vermelho</t>
  </si>
  <si>
    <t>MLB6666155076</t>
  </si>
  <si>
    <t>Balm Creme Hidratante Para Barba Eaê! 100ml</t>
  </si>
  <si>
    <t>MLB6666155360</t>
  </si>
  <si>
    <t>Delineador Líquido Preto Matte Teddy Vivai Longa Duração Brilhante</t>
  </si>
  <si>
    <t>MLB6666285604</t>
  </si>
  <si>
    <t>Esmalte Em Gel 3 Em 1 - 10ml Dafu Cor:04 Nude</t>
  </si>
  <si>
    <t>MLB6666285814</t>
  </si>
  <si>
    <t>Esmalte Em Gel Dafu 10ml Corm075 Prateado</t>
  </si>
  <si>
    <t>MLB6666286086</t>
  </si>
  <si>
    <t>MLB6666286154</t>
  </si>
  <si>
    <t>Lápis Duo Vivai Preto E Marrom Com Apontador Ideal Para Ol</t>
  </si>
  <si>
    <t>MLB6666286526</t>
  </si>
  <si>
    <t>Gel De Alongamento 15 Mamão Linha Light Aromatizado 15ml Rosa</t>
  </si>
  <si>
    <t>MLB6666291572</t>
  </si>
  <si>
    <t>Dafu Esmalte Em Gel 3 Em 1 10ml Cor 38 Uv Led Lilás</t>
  </si>
  <si>
    <t>MLB6666291738</t>
  </si>
  <si>
    <t>Kit Shampoo Condicionador Biotina 1l Let Me Be</t>
  </si>
  <si>
    <t>MLB6666291874</t>
  </si>
  <si>
    <t>Progressiva Orgânica De Quiabo Maranata Hair 1l Sem Formol</t>
  </si>
  <si>
    <t>MLB6666294214</t>
  </si>
  <si>
    <t>Descolorante Eaê Cosméticos Po Descolorante Azul Julie Blondtom 9 10vol.para Cabelo</t>
  </si>
  <si>
    <t>MLB6666294216</t>
  </si>
  <si>
    <t>MLB6666294264</t>
  </si>
  <si>
    <t>Blush Bastão Stick 02 Lua Neve Coral</t>
  </si>
  <si>
    <t>MLB6666296726</t>
  </si>
  <si>
    <t>Lip Tint Metálico Vermelho 532 Max Love Longa Duração Vermelho</t>
  </si>
  <si>
    <t>MLB6666492998</t>
  </si>
  <si>
    <t>MLB6666493366</t>
  </si>
  <si>
    <t>Gel De Alongamento Unha Com Glitter 07 Nude Real Love 15g</t>
  </si>
  <si>
    <t>MLB6666545582</t>
  </si>
  <si>
    <t>MLB6666545726</t>
  </si>
  <si>
    <t>Sérum Primer Facial Max Love Rosa Mosqueta Nutre E Hidrata</t>
  </si>
  <si>
    <t>MLB6666545820</t>
  </si>
  <si>
    <t>Max Love Prime Facial Com Ácido Hialurônico-vitamina-c 30m</t>
  </si>
  <si>
    <t>MLB6666547112</t>
  </si>
  <si>
    <t>Corretivo Líquido Feels Ruby Rose Cor Amêndoa 30</t>
  </si>
  <si>
    <t>MLB6669921316</t>
  </si>
  <si>
    <t>MLB6673402188</t>
  </si>
  <si>
    <t>Shampoo Antiresiduos Mirai 1l</t>
  </si>
  <si>
    <t>MLB6673402224</t>
  </si>
  <si>
    <t>Pó Compacto Da Ruby Rose Efeito Natural E Matte Sun Sunshine</t>
  </si>
  <si>
    <t>MLB6673402292</t>
  </si>
  <si>
    <t>Blush Bastão Stick 03 Lua Neve</t>
  </si>
  <si>
    <t>MLB6673402310</t>
  </si>
  <si>
    <t>Babasoul Hidratante Labial</t>
  </si>
  <si>
    <t>MLB6673402482</t>
  </si>
  <si>
    <t>Esmalte Em Gel Dafu 10ml Corm025 Lilás</t>
  </si>
  <si>
    <t>MLB6673402498</t>
  </si>
  <si>
    <t>Esmalte Em Gel Dafu 10ml Corm021 Rosa-chiclete</t>
  </si>
  <si>
    <t>MLB6673402516</t>
  </si>
  <si>
    <t>Esmalte Em Gel Dafu 10ml Corm028 Fúcsia</t>
  </si>
  <si>
    <t>MLB6673402550</t>
  </si>
  <si>
    <t>MLB6673402558</t>
  </si>
  <si>
    <t>Blush Bastão Stick 01 Lua Neve Rosa</t>
  </si>
  <si>
    <t>MLB6673402596</t>
  </si>
  <si>
    <t>Esmalte Em Gel Dafu 10ml Corm019 Rosa</t>
  </si>
  <si>
    <t>MLB6673402796</t>
  </si>
  <si>
    <t>Esmalte Em Gel Dafu 10ml Corm026 Rosa</t>
  </si>
  <si>
    <t>MLB6673402938</t>
  </si>
  <si>
    <t>Kit Progressiva Extreme Repair Blond Rofer Profissional 2x1l</t>
  </si>
  <si>
    <t>MLB6673402940</t>
  </si>
  <si>
    <t>Esmalte Em Gel Dafu 10ml Corm057 Azul</t>
  </si>
  <si>
    <t>MLB6673402976</t>
  </si>
  <si>
    <t>Kit Escova Organica De Quiabo 0formol Maranata 2x1l</t>
  </si>
  <si>
    <t>MLB6673402982</t>
  </si>
  <si>
    <t>Máscara De Cílios Belle Angel Super Volume Preta Preto</t>
  </si>
  <si>
    <t>MLB6673402994</t>
  </si>
  <si>
    <t>Máscara Capilar Ácido Hialurônico Hidratação Intensiva</t>
  </si>
  <si>
    <t>MLB6673403068</t>
  </si>
  <si>
    <t>Batom Magic Pink &amp; Black Pink 21 Rosa-claro</t>
  </si>
  <si>
    <t>MLB6673403098</t>
  </si>
  <si>
    <t>Esmalte De Uñas Cor Dropstok Esmalte De 10ml De 1 Unidades Color Rosa-claro</t>
  </si>
  <si>
    <t>MLB6673403112</t>
  </si>
  <si>
    <t>Ultra Bond Aid Para Unhas Linha Start 10ml - Real Love</t>
  </si>
  <si>
    <t>MLB6673403124</t>
  </si>
  <si>
    <t>Caneta Delineadora Para Sobrancelhas Pink 21 Castanho 02</t>
  </si>
  <si>
    <t>MLB6673403140</t>
  </si>
  <si>
    <t>Primer Non-acid Dafu 15ml Rosa-claro</t>
  </si>
  <si>
    <t>MLB6673403202</t>
  </si>
  <si>
    <t>Shampoo Para Crescimento Eaê Cosmeticos 300ml</t>
  </si>
  <si>
    <t>MLB6673403216</t>
  </si>
  <si>
    <t>MLB6673403238</t>
  </si>
  <si>
    <t>Esmalte Em Gel Dafu 10ml Corm049 Bege</t>
  </si>
  <si>
    <t>MLB6673403242</t>
  </si>
  <si>
    <t>Esmalte Em Gel Dafu 10ml Corm058 Coral</t>
  </si>
  <si>
    <t>MLB6673403248</t>
  </si>
  <si>
    <t>Esmalte Em Gel Dafu 10ml Corm050 Terracota</t>
  </si>
  <si>
    <t>MLB6673403254</t>
  </si>
  <si>
    <t>Ímã Magnético 3d Para Arte De Unha Real Love</t>
  </si>
  <si>
    <t>MLB6673403260</t>
  </si>
  <si>
    <t>MLB6673403262</t>
  </si>
  <si>
    <t>Esmalte Em Gel Dafu 10ml Corm055 Marrom</t>
  </si>
  <si>
    <t>MLB6673403280</t>
  </si>
  <si>
    <t>Esmalte De Uñas Cor Dropstok Esmalte De 10ml De 1 Unidades Color Dourado</t>
  </si>
  <si>
    <t>MLB6673403300</t>
  </si>
  <si>
    <t>Pó Facial Solto Finalizador Cor Pêssego Dapop</t>
  </si>
  <si>
    <t>MLB6673403356</t>
  </si>
  <si>
    <t>Modelador De Sobrancelhas Charming Lua E Neve Transparente</t>
  </si>
  <si>
    <t>MLB6673403360</t>
  </si>
  <si>
    <t>Esmalte Em Gel Dafu 10ml Corm007 Coral</t>
  </si>
  <si>
    <t>MLB6673489510</t>
  </si>
  <si>
    <t>Esmalte Em Gel Dafu 10ml Corm043 Azul</t>
  </si>
  <si>
    <t>MLB6673489514</t>
  </si>
  <si>
    <t>MLB6673489532</t>
  </si>
  <si>
    <t>MLB6673489540</t>
  </si>
  <si>
    <t>Twinkle Touch Sombra Iluminador 2 Em 1 Pink - Cor: Ice Glaw Branco</t>
  </si>
  <si>
    <t>MLB6673489568</t>
  </si>
  <si>
    <t>MLB6673489576</t>
  </si>
  <si>
    <t>MLB6673489578</t>
  </si>
  <si>
    <t>MLB6673489588</t>
  </si>
  <si>
    <t>MLB6673489610</t>
  </si>
  <si>
    <t>Esmalte Em Gel Dafu 10ml Corm059 Laranja</t>
  </si>
  <si>
    <t>MLB6673489614</t>
  </si>
  <si>
    <t>Máscara Para Cílios Ruby Rose Melu Peel Off Super Alongamento À Prova D'água Laranja Laranja - Super Alongamento</t>
  </si>
  <si>
    <t>MLB6673489622</t>
  </si>
  <si>
    <t>Blindagem De Maquiagem Dapop: Primer E Fixador Para Maior Duração</t>
  </si>
  <si>
    <t>MLB6673489878</t>
  </si>
  <si>
    <t>Base Líquida Melu By Ruby Rose Média Cobertura C00 25g</t>
  </si>
  <si>
    <t>MLB6673489924</t>
  </si>
  <si>
    <t>Esmalte Em Gel 3 Em 1 - 10ml Dafu Cor02</t>
  </si>
  <si>
    <t>MLB6673489934</t>
  </si>
  <si>
    <t>Caneta Delineadora Para Sobrancelhas Pink 21 Castanho Claro Marrom</t>
  </si>
  <si>
    <t>MLB6673489954</t>
  </si>
  <si>
    <t>Esmalte Em Gel Dafu 10ml Corm030 Lilás</t>
  </si>
  <si>
    <t>MLB6673489984</t>
  </si>
  <si>
    <t>Esmalte Em Gel Dafu 10ml Corm036 Verde-musgo</t>
  </si>
  <si>
    <t>MLB6673490304</t>
  </si>
  <si>
    <t>Gel De Alongamento 05 Maçã Linha Light Aromatizado 15ml Cor 05 - Gel Aromatizado - Maçã</t>
  </si>
  <si>
    <t>MLB6673490342</t>
  </si>
  <si>
    <t>Matizador Magic Blond Kaizen 500ml Sem Tom</t>
  </si>
  <si>
    <t>MLB6673490362</t>
  </si>
  <si>
    <t>Gel Construtor Dafu Cor 05 Nude 15g Uv Led Unhas Gel Profissional</t>
  </si>
  <si>
    <t>MLB6673490372</t>
  </si>
  <si>
    <t>Mascara Facial Peel Off Total Black Dia Max Love Todo Tipo De Pele</t>
  </si>
  <si>
    <t>MLB6673490508</t>
  </si>
  <si>
    <t>Base Coat Embalagem Premium Dafu Prateado</t>
  </si>
  <si>
    <t>MLB6673490520</t>
  </si>
  <si>
    <t>Caneta Delineadora Preta Lyrics Mystic</t>
  </si>
  <si>
    <t>MLB6673490536</t>
  </si>
  <si>
    <t>MLB6673490602</t>
  </si>
  <si>
    <t>Kit Com 6un Hidratante Labial Babasoul Melancia 10g</t>
  </si>
  <si>
    <t>MLB6673490616</t>
  </si>
  <si>
    <t>MLB6673490624</t>
  </si>
  <si>
    <t>MLB6673490626</t>
  </si>
  <si>
    <t>MLB6673490630</t>
  </si>
  <si>
    <t>Primer Facial Pure Skin Vivai 30ml</t>
  </si>
  <si>
    <t>MLB6673490650</t>
  </si>
  <si>
    <t>Esmalte Em Gel Dafu 10ml Corm056 Cáqui</t>
  </si>
  <si>
    <t>MLB6673490670</t>
  </si>
  <si>
    <t>MLB6673490674</t>
  </si>
  <si>
    <t>MLB6673490714</t>
  </si>
  <si>
    <t>Lip Oil Hidratante De Mel Lábial Wardabeauty C/chaveiro</t>
  </si>
  <si>
    <t>MLB6673490736</t>
  </si>
  <si>
    <t>Máscara Para Cílios Febella Incolor - Biotina Vitamina C Branco</t>
  </si>
  <si>
    <t>MLB6673490742</t>
  </si>
  <si>
    <t>Gloss Labial Phállebeauty Big Mouth Rosa Incolor Hidratante 4ml</t>
  </si>
  <si>
    <t>MLB6673490758</t>
  </si>
  <si>
    <t>MLB6673490784</t>
  </si>
  <si>
    <t>Gel Refil Real Love 15ml Nude Unhas Esculpidas Cor 5</t>
  </si>
  <si>
    <t>MLB6673490790</t>
  </si>
  <si>
    <t>MLB6673490798</t>
  </si>
  <si>
    <t>Blush Bastão Stick 04 Lua Neve Vermelho</t>
  </si>
  <si>
    <t>MLB4631439093</t>
  </si>
  <si>
    <t>Gel De Alonga Recons Hard 1 Transparente Real Love 15ml Branco</t>
  </si>
  <si>
    <t>Inativo</t>
  </si>
  <si>
    <t>MLB6673402766</t>
  </si>
  <si>
    <t>Pomada Para Sobrancelhas Ruby Rose Extra Brow - Cor Russet Marrom</t>
  </si>
  <si>
    <t>MLB6673403278</t>
  </si>
  <si>
    <t>MLB6673403304</t>
  </si>
  <si>
    <t>MLB6673403340</t>
  </si>
  <si>
    <t>MLB6673490700</t>
  </si>
  <si>
    <t>6937341540126927</t>
  </si>
  <si>
    <t>MLB6572911042</t>
  </si>
  <si>
    <t>U3877747511</t>
  </si>
  <si>
    <t>DPX4521740010</t>
  </si>
  <si>
    <t>Kit Nail Art Laço Bolinha Dafu Escolha 1 Cor</t>
  </si>
  <si>
    <t>933449078493459</t>
  </si>
  <si>
    <t>MLB6569106942</t>
  </si>
  <si>
    <t>U3888008934</t>
  </si>
  <si>
    <t>DPX9544632119VAR4</t>
  </si>
  <si>
    <t>Corretivo Matte Pure Skin 5,5g - Vivai - Cor: 03</t>
  </si>
  <si>
    <t>4981848736968977</t>
  </si>
  <si>
    <t>MLB4584616627</t>
  </si>
  <si>
    <t>U3888005842</t>
  </si>
  <si>
    <t>DPX9544632119VAR3</t>
  </si>
  <si>
    <t>Corretivo Matte Pure Skin 5,5g - Vivai - Cor: 02</t>
  </si>
  <si>
    <t>1799501165458962</t>
  </si>
  <si>
    <t>MLB4585625003</t>
  </si>
  <si>
    <t>U3888563308</t>
  </si>
  <si>
    <t>DPX1391608665</t>
  </si>
  <si>
    <t>Real Love Gel Solido Alongamento Powder Gel 20 Nude 15g</t>
  </si>
  <si>
    <t>7181278461038417</t>
  </si>
  <si>
    <t>MLB6569143246</t>
  </si>
  <si>
    <t>U3888007196</t>
  </si>
  <si>
    <t>DPX5683620924VAR4</t>
  </si>
  <si>
    <t>Corretivo Matte Lua&amp;neve - Cor: 03</t>
  </si>
  <si>
    <t>7268726312578831</t>
  </si>
  <si>
    <t>MLB6571856024</t>
  </si>
  <si>
    <t>U3888264670</t>
  </si>
  <si>
    <t>DPX8163647479</t>
  </si>
  <si>
    <t>Kit 60 Refil De Lixa Mandril #80 #120 #180 #240 + Broca</t>
  </si>
  <si>
    <t>Multicor</t>
  </si>
  <si>
    <t>1823875584864020</t>
  </si>
  <si>
    <t>MLB4584606679</t>
  </si>
  <si>
    <t>U3877146913</t>
  </si>
  <si>
    <t>DPX3584822736VAR4</t>
  </si>
  <si>
    <t>Febella Caneta Fio A Fio P/sobrancelhas Eyebrow Contouring</t>
  </si>
  <si>
    <t>1870113451665299</t>
  </si>
  <si>
    <t>MLB4584653865</t>
  </si>
  <si>
    <t>U3877182951</t>
  </si>
  <si>
    <t>DPX2617888999</t>
  </si>
  <si>
    <t>Real Love Gel De Alongamento Ultra Hard Secagem Rapida 15ml</t>
  </si>
  <si>
    <t>96354540004819</t>
  </si>
  <si>
    <t>MLB4585238911</t>
  </si>
  <si>
    <t>U3877485379</t>
  </si>
  <si>
    <t>DPX1587072515</t>
  </si>
  <si>
    <t>Dafu Esmalte Em Gel Uv Led</t>
  </si>
  <si>
    <t>3547190676667345</t>
  </si>
  <si>
    <t>MLB4585441069</t>
  </si>
  <si>
    <t>U3877565979</t>
  </si>
  <si>
    <t>DPX5001737774VAR3</t>
  </si>
  <si>
    <t>Corretivo Facial Liquido Febella True Skin  - Cor: 02</t>
  </si>
  <si>
    <t>6977590350004114</t>
  </si>
  <si>
    <t>MLB6569119840</t>
  </si>
  <si>
    <t>U3888007222</t>
  </si>
  <si>
    <t>DPX5683620924VAR2</t>
  </si>
  <si>
    <t>Corretivo Matte Lua&amp;neve - Cor: 01</t>
  </si>
  <si>
    <t>163130245315283</t>
  </si>
  <si>
    <t>MLB6572541342</t>
  </si>
  <si>
    <t>U3877592629</t>
  </si>
  <si>
    <t>DPX9265202967</t>
  </si>
  <si>
    <t>Dafu Kit Esmaltes Em Gel Tons De Azul Cores Vibrantes Uv Led</t>
  </si>
  <si>
    <t>3642649439330833</t>
  </si>
  <si>
    <t>MLB6572596012</t>
  </si>
  <si>
    <t>U3877575339</t>
  </si>
  <si>
    <t>DPX3335444752</t>
  </si>
  <si>
    <t>Felicity Kit Banho De Diamantes Tonalizante Preto Azulado</t>
  </si>
  <si>
    <t>6385050430660049</t>
  </si>
  <si>
    <t>MLB6572771744</t>
  </si>
  <si>
    <t>U3877674881</t>
  </si>
  <si>
    <t>DPX8240014975</t>
  </si>
  <si>
    <t>Spa Dos Pés Repós Amaciante De Calosidades - Copaíba 150</t>
  </si>
  <si>
    <t>503300243554387</t>
  </si>
  <si>
    <t>MLB4584421005</t>
  </si>
  <si>
    <t>U3887751264</t>
  </si>
  <si>
    <t>DPX5568044897</t>
  </si>
  <si>
    <t>Felicity Kit 2 Ativos Definitiva De Quiabo 2x1 Anti Frizz</t>
  </si>
  <si>
    <t>132594043123024</t>
  </si>
  <si>
    <t>MLB4584602199</t>
  </si>
  <si>
    <t>U3887993126</t>
  </si>
  <si>
    <t>DPX7425552141</t>
  </si>
  <si>
    <t>Eaê Cosméticos Agua Oxigenada Volume 6 450ml Coloração</t>
  </si>
  <si>
    <t>1770641399089745</t>
  </si>
  <si>
    <t>MLB4584616623</t>
  </si>
  <si>
    <t>U3888008920</t>
  </si>
  <si>
    <t>DPX9544632119VAR6</t>
  </si>
  <si>
    <t>Vivai Corretivo Matte Pure Skin 5,5g Maquiagem</t>
  </si>
  <si>
    <t>196317079865616</t>
  </si>
  <si>
    <t>MLB4584616633</t>
  </si>
  <si>
    <t>U3888008950</t>
  </si>
  <si>
    <t>DPX9544632119VAR2</t>
  </si>
  <si>
    <t>Corretivo Matte Pure Skin 5,5g - Vivai - Cor: 01</t>
  </si>
  <si>
    <t>600093683223376</t>
  </si>
  <si>
    <t>MLB4585341085</t>
  </si>
  <si>
    <t>U3888387914</t>
  </si>
  <si>
    <t>DPX4045923709</t>
  </si>
  <si>
    <t>Dafu Esmalte Em Gel Cor 24 Uv Led</t>
  </si>
  <si>
    <t>6518856239917391</t>
  </si>
  <si>
    <t>MLB4585430775</t>
  </si>
  <si>
    <t>U3888431466</t>
  </si>
  <si>
    <t>DPX5001737774VAR6</t>
  </si>
  <si>
    <t>Febella Corretivo Facial Liquido True Skin Maquiagem</t>
  </si>
  <si>
    <t>1804854640895378</t>
  </si>
  <si>
    <t>MLB4585432751</t>
  </si>
  <si>
    <t>U3888443266</t>
  </si>
  <si>
    <t>DPX6291431767</t>
  </si>
  <si>
    <t>Felicity Kit Banho De Diamante Shampoo + Condiconador +botox</t>
  </si>
  <si>
    <t>1116717677717010</t>
  </si>
  <si>
    <t>MLB4585529259</t>
  </si>
  <si>
    <t>U3877611209</t>
  </si>
  <si>
    <t>DPX9686347797</t>
  </si>
  <si>
    <t>Dafu Esmalte Em Gel Tons De Marrom 1 Uv Led</t>
  </si>
  <si>
    <t>6228987212737233</t>
  </si>
  <si>
    <t>MLB4585534263</t>
  </si>
  <si>
    <t>U3877619617</t>
  </si>
  <si>
    <t>DPX1827786031</t>
  </si>
  <si>
    <t>Eaê Cosméticos Gelatina Detox Eae! Cosméticos Profissional</t>
  </si>
  <si>
    <t>227421094912721</t>
  </si>
  <si>
    <t>MLB4585544783</t>
  </si>
  <si>
    <t>U3888484058</t>
  </si>
  <si>
    <t>DPX2539137559</t>
  </si>
  <si>
    <t>Dafu Esmalte Em Gel Cor 94 Uv Led</t>
  </si>
  <si>
    <t>1897465291246994</t>
  </si>
  <si>
    <t>MLB4585550983</t>
  </si>
  <si>
    <t>U3888496396</t>
  </si>
  <si>
    <t>DPX8211611206</t>
  </si>
  <si>
    <t>Rofer Kit Semi Definitiva Afro 2x500ml Anti Frizz</t>
  </si>
  <si>
    <t>4687980555933007</t>
  </si>
  <si>
    <t>MLB4585585795</t>
  </si>
  <si>
    <t>U3888539016</t>
  </si>
  <si>
    <t>DPX8763560081</t>
  </si>
  <si>
    <t>Máscara - Você Blend Nutrição Intensiva 1,5kg Let Me Be</t>
  </si>
  <si>
    <t>5015508183141968</t>
  </si>
  <si>
    <t>MLB4585625883</t>
  </si>
  <si>
    <t>U3888564744</t>
  </si>
  <si>
    <t>DPX5677236169</t>
  </si>
  <si>
    <t>Felicity Kit 2 Ativos Definitiva De Quiabo Anti Frizz</t>
  </si>
  <si>
    <t>2990590548322000</t>
  </si>
  <si>
    <t>MLB4585645745</t>
  </si>
  <si>
    <t>U3888601588</t>
  </si>
  <si>
    <t>DPX6431187296</t>
  </si>
  <si>
    <t>Dafu Esmalte Em Gel Tons De Marrom Cor 7 Uv Led</t>
  </si>
  <si>
    <t>1858829949142418</t>
  </si>
  <si>
    <t>MLB4585664091</t>
  </si>
  <si>
    <t>U3877733453</t>
  </si>
  <si>
    <t>DPX2432085150</t>
  </si>
  <si>
    <t>Dafu Esmalte Em Gel Cor 66 Uv Led</t>
  </si>
  <si>
    <t>4843828378984209</t>
  </si>
  <si>
    <t>MLB4585664583</t>
  </si>
  <si>
    <t>U3888602046</t>
  </si>
  <si>
    <t>DPX9146670631</t>
  </si>
  <si>
    <t>Dafu Esmalte Em Gel Cor 61 Uv Led</t>
  </si>
  <si>
    <t>7310521880065425</t>
  </si>
  <si>
    <t>MLB4585667085</t>
  </si>
  <si>
    <t>U3888606880</t>
  </si>
  <si>
    <t>DPX8038190763</t>
  </si>
  <si>
    <t>Dafu Esmalte Em Gel Cor 12 Uv Led</t>
  </si>
  <si>
    <t>MLB4585667187</t>
  </si>
  <si>
    <t>U3888608152</t>
  </si>
  <si>
    <t>Dafu Esmalte Em Gel Cor 4 Uv Led</t>
  </si>
  <si>
    <t>MLB4600413949</t>
  </si>
  <si>
    <t>6085734745513809</t>
  </si>
  <si>
    <t>MLB4600414723</t>
  </si>
  <si>
    <t>U3877697669</t>
  </si>
  <si>
    <t>DPX1450357175</t>
  </si>
  <si>
    <t>Shampoo Banho De Diamantes Felicity Professional 300ml</t>
  </si>
  <si>
    <t>MLB4609149733</t>
  </si>
  <si>
    <t>Máscara Com Você Blend Nutrição Intensiva 15kg Let Me B</t>
  </si>
  <si>
    <t>8444918879956560</t>
  </si>
  <si>
    <t>MLB4609300449</t>
  </si>
  <si>
    <t>U3888564490</t>
  </si>
  <si>
    <t>DPX3675955430</t>
  </si>
  <si>
    <t>Kit Shampoo E Condicionador Hidratação Banho De Diamantes</t>
  </si>
  <si>
    <t>6942856933594897</t>
  </si>
  <si>
    <t>MLB6568924228</t>
  </si>
  <si>
    <t>U3877033911</t>
  </si>
  <si>
    <t>DPX3635748931</t>
  </si>
  <si>
    <t>Dafu Esmalte Em Gel Tons De Marrom Cor 12 Uv Led</t>
  </si>
  <si>
    <t>1163861687975699</t>
  </si>
  <si>
    <t>MLB6568955828</t>
  </si>
  <si>
    <t>U3887907396</t>
  </si>
  <si>
    <t>DPX7076866441</t>
  </si>
  <si>
    <t>Dafu Esmalte Em Gel Cor 28 Uv Led</t>
  </si>
  <si>
    <t>2297940265771923</t>
  </si>
  <si>
    <t>MLB6568961428</t>
  </si>
  <si>
    <t>U3877056923</t>
  </si>
  <si>
    <t>DPX9956453398</t>
  </si>
  <si>
    <t>Dafu Esmalte Em Gel Tons De Marrom Cor 2 Uv Led</t>
  </si>
  <si>
    <t>4381064225908625</t>
  </si>
  <si>
    <t>MLB6568962216</t>
  </si>
  <si>
    <t>U3887924208</t>
  </si>
  <si>
    <t>DPX3875902613</t>
  </si>
  <si>
    <t>Dafu Esmalte Em Gel Cor 59 Uv Led</t>
  </si>
  <si>
    <t>3888206121236433</t>
  </si>
  <si>
    <t>MLB6568962862</t>
  </si>
  <si>
    <t>U3877063733</t>
  </si>
  <si>
    <t>DPX5215857111</t>
  </si>
  <si>
    <t>Dafu Esmalte Em Gel Cor 58 Uv Led</t>
  </si>
  <si>
    <t>7601601549055506</t>
  </si>
  <si>
    <t>MLB6568965470</t>
  </si>
  <si>
    <t>U3887932736</t>
  </si>
  <si>
    <t>DPX5859969425</t>
  </si>
  <si>
    <t>Dafu Esmalte Em Gel Tons De Marrom 3 Uv Led</t>
  </si>
  <si>
    <t>8121768098616719</t>
  </si>
  <si>
    <t>MLB6568968602</t>
  </si>
  <si>
    <t>U3877064997</t>
  </si>
  <si>
    <t>DPX2099971559</t>
  </si>
  <si>
    <t>Dafu Esmalte Em Gel Tons De Marrom Cor 5 Uv Led</t>
  </si>
  <si>
    <t>880407978944659</t>
  </si>
  <si>
    <t>MLB6569106776</t>
  </si>
  <si>
    <t>U3888007176</t>
  </si>
  <si>
    <t>DPX5683620924VAR7</t>
  </si>
  <si>
    <t>Corretivo Matte Lua&amp;neve - Cor: 06</t>
  </si>
  <si>
    <t>3812291505551249</t>
  </si>
  <si>
    <t>MLB6569106924</t>
  </si>
  <si>
    <t>U3888010094</t>
  </si>
  <si>
    <t>DPX9544632119</t>
  </si>
  <si>
    <t>Corretivo Matte Pure Skin 5,5g - Vivai -</t>
  </si>
  <si>
    <t>7822565270247055</t>
  </si>
  <si>
    <t>MLB6569119946</t>
  </si>
  <si>
    <t>U3888007562</t>
  </si>
  <si>
    <t>DPX9544632119VAR7</t>
  </si>
  <si>
    <t>Corretivo Matte Pure Skin 5,5g - Vivai - Cor: 06</t>
  </si>
  <si>
    <t>3617019696767825</t>
  </si>
  <si>
    <t>MLB6569119950</t>
  </si>
  <si>
    <t>U3888007568</t>
  </si>
  <si>
    <t>DPX9544632119VAR5</t>
  </si>
  <si>
    <t>Corretivo Matte Pure Skin 5,5g - Vivai - Cor: 04</t>
  </si>
  <si>
    <t>4842620173563921</t>
  </si>
  <si>
    <t>MLB6569188810</t>
  </si>
  <si>
    <t>U3877159555</t>
  </si>
  <si>
    <t>DPX5935914023</t>
  </si>
  <si>
    <t>Dafu Kit 4 Esmalte Em Gel 10ml Uv Led</t>
  </si>
  <si>
    <t>8115755682733713</t>
  </si>
  <si>
    <t>MLB6571810914</t>
  </si>
  <si>
    <t>U3877395857</t>
  </si>
  <si>
    <t>DPX2609445525</t>
  </si>
  <si>
    <t>Kit Lissever White Progressiva Sem Formol Eae 100ml -</t>
  </si>
  <si>
    <t>MLB6572291786</t>
  </si>
  <si>
    <t>U3877490905</t>
  </si>
  <si>
    <t>Dafu Esmalte Em Gel Cor 36 Uv Led</t>
  </si>
  <si>
    <t>1856851499079123</t>
  </si>
  <si>
    <t>MLB6572292502</t>
  </si>
  <si>
    <t>U3888357990</t>
  </si>
  <si>
    <t>DPX6903179254</t>
  </si>
  <si>
    <t>Dafu Esmalte Em Gel Cor 26 Uv Led</t>
  </si>
  <si>
    <t>3450032308065554</t>
  </si>
  <si>
    <t>MLB6572302438</t>
  </si>
  <si>
    <t>U3888352850</t>
  </si>
  <si>
    <t>DPX2704185725</t>
  </si>
  <si>
    <t>Dafu Esmalte Em Gel Cor 38 Uv Led</t>
  </si>
  <si>
    <t>1214765419423824</t>
  </si>
  <si>
    <t>MLB6572533730</t>
  </si>
  <si>
    <t>U3888431476</t>
  </si>
  <si>
    <t>DPX5001737774VAR5</t>
  </si>
  <si>
    <t>Corretivo Facial Liquido Febella True Skin  - Cor: 04</t>
  </si>
  <si>
    <t>8182220886715022</t>
  </si>
  <si>
    <t>MLB6572542998</t>
  </si>
  <si>
    <t>U3888429952</t>
  </si>
  <si>
    <t>DPX5001737774VAR7</t>
  </si>
  <si>
    <t>Corretivo Facial Liquido Febella True Skin  - Cor: 06</t>
  </si>
  <si>
    <t>1857417625523792</t>
  </si>
  <si>
    <t>MLB6572543008</t>
  </si>
  <si>
    <t>U3888433146</t>
  </si>
  <si>
    <t>DPX5001737774VAR4</t>
  </si>
  <si>
    <t>Corretivo Facial Liquido Febella True Skin  - Cor: 03</t>
  </si>
  <si>
    <t>MLB6572616866</t>
  </si>
  <si>
    <t>U3888465108</t>
  </si>
  <si>
    <t>Dafu Esmalte Em Gel 10ml Cor M009 Uv Led</t>
  </si>
  <si>
    <t>1965507420367824</t>
  </si>
  <si>
    <t>MLB6572658322</t>
  </si>
  <si>
    <t>U3877612617</t>
  </si>
  <si>
    <t>DPX6681763738</t>
  </si>
  <si>
    <t>Dafu Esmalte Em Gel Tons De Marrom Cor 9 Uv Led</t>
  </si>
  <si>
    <t>MLB6572701664</t>
  </si>
  <si>
    <t>Gelatina Detox Eae! Cosmeticos</t>
  </si>
  <si>
    <t>3536527717417683</t>
  </si>
  <si>
    <t>MLB6572717296</t>
  </si>
  <si>
    <t>U3877613723</t>
  </si>
  <si>
    <t>DPX2683102124</t>
  </si>
  <si>
    <t>Dafu Esmalte Em Gel Tons De Marrom Cor 11 Uv Led</t>
  </si>
  <si>
    <t>3323200704108433</t>
  </si>
  <si>
    <t>MLB6572718126</t>
  </si>
  <si>
    <t>U3877615119</t>
  </si>
  <si>
    <t>DPX8331760291</t>
  </si>
  <si>
    <t>Dafu Esmalte Em Gel Cor 82 Uv Led</t>
  </si>
  <si>
    <t>MLB6572829970</t>
  </si>
  <si>
    <t>Shampoo Banho De Diamantes Felicity Professional 300ml -</t>
  </si>
  <si>
    <t>MLB6572830328</t>
  </si>
  <si>
    <t>3425723801266705</t>
  </si>
  <si>
    <t>MLB6572884230</t>
  </si>
  <si>
    <t>U3888607912</t>
  </si>
  <si>
    <t>DPX8709783189</t>
  </si>
  <si>
    <t>Dafu Esmalte Em Gel Cor 20 Uv Led</t>
  </si>
  <si>
    <t>MLB6623998814</t>
  </si>
  <si>
    <t>Esmalte Em Gel Dafu Tons De Marrom Cor12</t>
  </si>
  <si>
    <t>MLB6650815672</t>
  </si>
  <si>
    <t>U3908192407</t>
  </si>
  <si>
    <t>MLB6650863532</t>
  </si>
  <si>
    <t>U3919776118</t>
  </si>
  <si>
    <t>Kit Esmaltes Em Gel Tons De Azul Cores Vibrantes Dafu -</t>
  </si>
  <si>
    <t>MLB6673026806</t>
  </si>
  <si>
    <t>MLB6673403036</t>
  </si>
  <si>
    <t>Esmalte Em Gel Dafu Tons De Marrom Cor05</t>
  </si>
  <si>
    <t>MLB6673403270</t>
  </si>
  <si>
    <t>MLB6673403366</t>
  </si>
  <si>
    <t>Esmalte Em Gel Dafu Tons De Marrom Cor09</t>
  </si>
  <si>
    <t>MLB6673490562</t>
  </si>
  <si>
    <t>MLB4584442741</t>
  </si>
  <si>
    <t>44.99</t>
  </si>
  <si>
    <t>MLB4584517567</t>
  </si>
  <si>
    <t>17.49</t>
  </si>
  <si>
    <t>7697663699775825</t>
  </si>
  <si>
    <t>MLB4584572107</t>
  </si>
  <si>
    <t>U3887928588</t>
  </si>
  <si>
    <t>DPX4887323737</t>
  </si>
  <si>
    <t>Mirai Cosmet Acidificante Capilar Vinagre Maçã Verde 250ml</t>
  </si>
  <si>
    <t>37.49</t>
  </si>
  <si>
    <t>MLB4585035029</t>
  </si>
  <si>
    <t>40.49</t>
  </si>
  <si>
    <t>MLB4585042001</t>
  </si>
  <si>
    <t>30.49</t>
  </si>
  <si>
    <t>MLB4585058699</t>
  </si>
  <si>
    <t>26.49</t>
  </si>
  <si>
    <t>MLB4585341267</t>
  </si>
  <si>
    <t>33.49</t>
  </si>
  <si>
    <t>MLB4585351973</t>
  </si>
  <si>
    <t>MLB4601649019</t>
  </si>
  <si>
    <t>39.49</t>
  </si>
  <si>
    <t>3519860683318034</t>
  </si>
  <si>
    <t>MLB4621697317</t>
  </si>
  <si>
    <t>U3918562256</t>
  </si>
  <si>
    <t>DPX7437930341</t>
  </si>
  <si>
    <t>Broca De Cerâmicas Profissional Para Unhas R-211 -</t>
  </si>
  <si>
    <t>20</t>
  </si>
  <si>
    <t>8698507895767888</t>
  </si>
  <si>
    <t>MLB4621763045</t>
  </si>
  <si>
    <t>U3918585290</t>
  </si>
  <si>
    <t>DPX4920550820</t>
  </si>
  <si>
    <t>Pó Cromado Prateado Borboleta Dafu -</t>
  </si>
  <si>
    <t>7108091904337743</t>
  </si>
  <si>
    <t>MLB4622673315</t>
  </si>
  <si>
    <t>U3919154766</t>
  </si>
  <si>
    <t>DPX5392096518</t>
  </si>
  <si>
    <t>Paleta De Sombra Flor A Bobbi Rara 01 -</t>
  </si>
  <si>
    <t>26.24</t>
  </si>
  <si>
    <t>654481708529491</t>
  </si>
  <si>
    <t>MLB4622678687</t>
  </si>
  <si>
    <t>U3907755281</t>
  </si>
  <si>
    <t>DPX6944148500</t>
  </si>
  <si>
    <t>Corretivo Liquido Vegano Max Love -</t>
  </si>
  <si>
    <t>19.99</t>
  </si>
  <si>
    <t>MLB4622682351</t>
  </si>
  <si>
    <t>MLB4622685245</t>
  </si>
  <si>
    <t>23.74</t>
  </si>
  <si>
    <t>MLB4622744253</t>
  </si>
  <si>
    <t>28.74</t>
  </si>
  <si>
    <t>MLB4622744257</t>
  </si>
  <si>
    <t>8701954661843280</t>
  </si>
  <si>
    <t>MLB4622748013</t>
  </si>
  <si>
    <t>U3907833199</t>
  </si>
  <si>
    <t>DPX4279369578</t>
  </si>
  <si>
    <t>Base Liquida Vivai Perfect Cor 07 Matte - 30ml -</t>
  </si>
  <si>
    <t>22.49</t>
  </si>
  <si>
    <t>6931551403188112</t>
  </si>
  <si>
    <t>MLB4623425243</t>
  </si>
  <si>
    <t>U3919681144</t>
  </si>
  <si>
    <t>DPX8982059563</t>
  </si>
  <si>
    <t>Lápis Para Sobrancelhas Retrátil Rise Me Marrom Vivai -</t>
  </si>
  <si>
    <t>MLB4623426347</t>
  </si>
  <si>
    <t>18.31</t>
  </si>
  <si>
    <t>5286247332350287</t>
  </si>
  <si>
    <t>MLB4623584061</t>
  </si>
  <si>
    <t>U3908239605</t>
  </si>
  <si>
    <t>DPX2554226840</t>
  </si>
  <si>
    <t>Agua Oxigenada Volume 30 Eaê Cosméticos 900ml -</t>
  </si>
  <si>
    <t>46.25</t>
  </si>
  <si>
    <t>MLB4623639319</t>
  </si>
  <si>
    <t>U3908296975</t>
  </si>
  <si>
    <t>31.5</t>
  </si>
  <si>
    <t>MLB4623651365</t>
  </si>
  <si>
    <t>19.25</t>
  </si>
  <si>
    <t>1613978587100243</t>
  </si>
  <si>
    <t>MLB4624395165</t>
  </si>
  <si>
    <t>U3920922798</t>
  </si>
  <si>
    <t>DPX396207</t>
  </si>
  <si>
    <t>Contorno + Iluminador Lua&amp;neve 06</t>
  </si>
  <si>
    <t>44.72</t>
  </si>
  <si>
    <t>MLB6568855008</t>
  </si>
  <si>
    <t>79.99</t>
  </si>
  <si>
    <t>MLB6568856018</t>
  </si>
  <si>
    <t>47.99</t>
  </si>
  <si>
    <t>MLB6568860964</t>
  </si>
  <si>
    <t>51.99</t>
  </si>
  <si>
    <t>MLB6568866696</t>
  </si>
  <si>
    <t>300.99</t>
  </si>
  <si>
    <t>MLB6571567306</t>
  </si>
  <si>
    <t>MLB6571802836</t>
  </si>
  <si>
    <t>MLB6571809450</t>
  </si>
  <si>
    <t>31.49</t>
  </si>
  <si>
    <t>MLB6572378014</t>
  </si>
  <si>
    <t>MLB6572398126</t>
  </si>
  <si>
    <t>MLB6572789896</t>
  </si>
  <si>
    <t>55.49</t>
  </si>
  <si>
    <t>MLB6572792218</t>
  </si>
  <si>
    <t>MLB6572932510</t>
  </si>
  <si>
    <t>MLB6605192368</t>
  </si>
  <si>
    <t>Cauterização Let Me Be Cauter One 500 Ml</t>
  </si>
  <si>
    <t>66.76</t>
  </si>
  <si>
    <t>MLB6605321750</t>
  </si>
  <si>
    <t>MLB6605357286</t>
  </si>
  <si>
    <t>35.49</t>
  </si>
  <si>
    <t>1645094038560529</t>
  </si>
  <si>
    <t>MLB6647578316</t>
  </si>
  <si>
    <t>U3918558934</t>
  </si>
  <si>
    <t>DPX1640888260</t>
  </si>
  <si>
    <t>Broca De Cerâmicas Profissional Para Unhas R-203 -</t>
  </si>
  <si>
    <t>7927886320980815</t>
  </si>
  <si>
    <t>MLB6647613980</t>
  </si>
  <si>
    <t>U3918558518</t>
  </si>
  <si>
    <t>DPX3953236016</t>
  </si>
  <si>
    <t>Broca Diamantada Umbrella &amp; Barrel Ball Real Love -</t>
  </si>
  <si>
    <t>23.75</t>
  </si>
  <si>
    <t>5365342107751634</t>
  </si>
  <si>
    <t>MLB6647616878</t>
  </si>
  <si>
    <t>U3918578554</t>
  </si>
  <si>
    <t>DPX2216764200</t>
  </si>
  <si>
    <t>Vara Magnética 6em1 Unha Efeito Olho Gato -</t>
  </si>
  <si>
    <t>29.38</t>
  </si>
  <si>
    <t>6890234274028177</t>
  </si>
  <si>
    <t>MLB6647672414</t>
  </si>
  <si>
    <t>U3918559926</t>
  </si>
  <si>
    <t>DPX3446653733</t>
  </si>
  <si>
    <t>Broca De Cerâmica Profissional Unha Small Ball (m) Azul -</t>
  </si>
  <si>
    <t>7212314316217937</t>
  </si>
  <si>
    <t>MLB6647673392</t>
  </si>
  <si>
    <t>U3918568728</t>
  </si>
  <si>
    <t>Broca 3/32 Small Ball (f) Vermelho Real Love -</t>
  </si>
  <si>
    <t>17.25</t>
  </si>
  <si>
    <t>MLB6647673844</t>
  </si>
  <si>
    <t>24.99</t>
  </si>
  <si>
    <t>MLB6647674134</t>
  </si>
  <si>
    <t>13.74</t>
  </si>
  <si>
    <t>MLB6647679872</t>
  </si>
  <si>
    <t>U3918613676</t>
  </si>
  <si>
    <t>Esmalte Em Gel Dafu 10ml Cor:m051 -</t>
  </si>
  <si>
    <t>20.94</t>
  </si>
  <si>
    <t>5646332793966098</t>
  </si>
  <si>
    <t>MLB6647708658</t>
  </si>
  <si>
    <t>U3918564504</t>
  </si>
  <si>
    <t>DPX7470055266</t>
  </si>
  <si>
    <t>Broca De Cerâmica Profissional Unha Small (f) Vermelho -</t>
  </si>
  <si>
    <t>MLB6647709554</t>
  </si>
  <si>
    <t>U3907089745</t>
  </si>
  <si>
    <t xml:space="preserve">Broca De Cerâmicas Profissional Para Unhas R-210 Real Love </t>
  </si>
  <si>
    <t>MLB6649108322</t>
  </si>
  <si>
    <t>21.24</t>
  </si>
  <si>
    <t>639959705304468</t>
  </si>
  <si>
    <t>MLB6649533314</t>
  </si>
  <si>
    <t>U3919251686</t>
  </si>
  <si>
    <t>DPX7463554354</t>
  </si>
  <si>
    <t>Mini Quarteto De Sombra Matte Pink Ludurana (embalgem Preta)</t>
  </si>
  <si>
    <t>6661269718434641</t>
  </si>
  <si>
    <t>MLB6649538730</t>
  </si>
  <si>
    <t>U3907831483</t>
  </si>
  <si>
    <t>DPX2302689495</t>
  </si>
  <si>
    <t>Base Liquida Vivai Perfect Cor 08 Matte - 30ml -</t>
  </si>
  <si>
    <t>36754810487185</t>
  </si>
  <si>
    <t>MLB6649539544</t>
  </si>
  <si>
    <t>U3907837129</t>
  </si>
  <si>
    <t>DPX3332282258</t>
  </si>
  <si>
    <t>Base Liquida Vivai Perfect Cor 06 Matte - 30ml -</t>
  </si>
  <si>
    <t>7262414753224722</t>
  </si>
  <si>
    <t>MLB6649539740</t>
  </si>
  <si>
    <t>U3907839457</t>
  </si>
  <si>
    <t>DPX1142711153</t>
  </si>
  <si>
    <t>Base Liquida Vivai Perfect Cor 04 Matte - 30ml -</t>
  </si>
  <si>
    <t>MLB6649678030</t>
  </si>
  <si>
    <t>MLB6649827778</t>
  </si>
  <si>
    <t>7967664818557582</t>
  </si>
  <si>
    <t>MLB6649833050</t>
  </si>
  <si>
    <t>U3907874223</t>
  </si>
  <si>
    <t>DPX5920914327</t>
  </si>
  <si>
    <t>Caneta Delineadora P/ Sobrancelhas Hello Mini Á Prova D'agu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</si>
</sst>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name val="Arial"/>
    </font>
    <font>
      <b/>
      <i/>
      <sz val="10"/>
      <color rgb="FF781A13"/>
      <name val="Arial"/>
    </font>
    <font>
      <b/>
      <sz val="10"/>
      <name val="Arial"/>
    </font>
    <font>
      <b/>
      <sz val="13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color rgb="FF999999"/>
      <name val="Arial"/>
    </font>
    <font>
      <sz val="10"/>
      <name val="Arial"/>
    </font>
    <font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F3F3F3"/>
      </patternFill>
    </fill>
    <fill>
      <patternFill patternType="solid">
        <fgColor rgb="FFFFF158"/>
      </patternFill>
    </fill>
    <fill>
      <patternFill patternType="solid">
        <fgColor rgb="FFFFFFFF"/>
      </patternFill>
    </fill>
    <fill>
      <patternFill patternType="solid">
        <fgColor rgb="FFF6B26B"/>
      </patternFill>
    </fill>
    <fill>
      <patternFill patternType="solid">
        <fgColor rgb="FFF8CCA4"/>
      </patternFill>
    </fill>
    <fill>
      <patternFill patternType="solid">
        <fgColor rgb="FFFCE5CD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93C47D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49" fontId="0" fillId="0" borderId="0" xfId="0" applyNumberFormat="1"/>
    <xf numFmtId="0" fontId="1" fillId="0" borderId="0" xfId="0" applyFont="1" applyProtection="1">
      <protection locked="0"/>
    </xf>
    <xf numFmtId="0" fontId="2" fillId="3" borderId="1" xfId="0" applyFont="1" applyFill="1" applyBorder="1" applyAlignment="1">
      <alignment horizontal="center" vertical="center"/>
    </xf>
    <xf numFmtId="0" fontId="6" fillId="7" borderId="0" xfId="0" applyFont="1" applyFill="1" applyAlignment="1" applyProtection="1">
      <alignment horizontal="center" vertical="center" wrapText="1"/>
      <protection locked="0"/>
    </xf>
    <xf numFmtId="0" fontId="9" fillId="10" borderId="0" xfId="0" applyFont="1" applyFill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left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49" fontId="0" fillId="0" borderId="0" xfId="0" applyNumberFormat="1"/>
    <xf numFmtId="0" fontId="4" fillId="5" borderId="0" xfId="0" applyFont="1" applyFill="1" applyAlignment="1" applyProtection="1">
      <alignment horizontal="center" vertical="center" wrapText="1"/>
      <protection locked="0"/>
    </xf>
    <xf numFmtId="0" fontId="5" fillId="6" borderId="0" xfId="0" applyFont="1" applyFill="1" applyAlignment="1" applyProtection="1">
      <alignment horizontal="center" vertical="center" wrapText="1"/>
      <protection locked="0"/>
    </xf>
    <xf numFmtId="0" fontId="7" fillId="8" borderId="0" xfId="0" applyFont="1" applyFill="1" applyAlignment="1" applyProtection="1">
      <alignment horizontal="center" vertical="center" wrapText="1"/>
      <protection locked="0"/>
    </xf>
    <xf numFmtId="0" fontId="11" fillId="12" borderId="0" xfId="0" applyFont="1" applyFill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0" fontId="8" fillId="9" borderId="0" xfId="0" applyFont="1" applyFill="1" applyAlignment="1" applyProtection="1">
      <alignment horizontal="center" vertical="center" wrapText="1"/>
      <protection locked="0"/>
    </xf>
    <xf numFmtId="0" fontId="10" fillId="11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15"/>
  <sheetViews>
    <sheetView tabSelected="1" topLeftCell="B2" workbookViewId="0">
      <selection activeCell="B10" sqref="B10"/>
    </sheetView>
  </sheetViews>
  <sheetFormatPr defaultRowHeight="12.5" x14ac:dyDescent="0.25"/>
  <cols>
    <col min="1" max="1" width="18.7265625" hidden="1" customWidth="1"/>
    <col min="2" max="3" width="17.54296875" customWidth="1"/>
    <col min="4" max="4" width="17.54296875" hidden="1" customWidth="1"/>
    <col min="5" max="5" width="17.54296875" customWidth="1"/>
    <col min="6" max="6" width="58.6328125" customWidth="1"/>
    <col min="7" max="10" width="17.54296875" customWidth="1"/>
    <col min="11" max="20" width="31.26953125" customWidth="1"/>
    <col min="21" max="21" width="21.453125" customWidth="1"/>
    <col min="22" max="22" width="39.08984375" customWidth="1"/>
    <col min="23" max="25" width="17.54296875" customWidth="1"/>
  </cols>
  <sheetData>
    <row r="1" spans="1:25" ht="0" hidden="1" customHeight="1" x14ac:dyDescent="0.25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11</v>
      </c>
      <c r="G1" s="1" t="s">
        <v>13</v>
      </c>
      <c r="H1" s="1" t="s">
        <v>16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40</v>
      </c>
      <c r="V1" s="1" t="s">
        <v>43</v>
      </c>
      <c r="W1" s="1" t="s">
        <v>46</v>
      </c>
      <c r="X1" s="1" t="s">
        <v>48</v>
      </c>
      <c r="Y1" s="1" t="s">
        <v>50</v>
      </c>
    </row>
    <row r="2" spans="1:25" ht="42.5" customHeight="1" x14ac:dyDescent="0.25">
      <c r="A2" s="9" t="s">
        <v>15</v>
      </c>
      <c r="B2" s="8"/>
      <c r="C2" s="8"/>
      <c r="D2" s="8"/>
      <c r="E2" s="8"/>
      <c r="F2" s="8"/>
      <c r="G2" s="8"/>
      <c r="H2" s="11" t="s">
        <v>42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 t="s">
        <v>45</v>
      </c>
      <c r="W2" s="12" t="s">
        <v>52</v>
      </c>
      <c r="X2" s="8"/>
      <c r="Y2" s="8"/>
    </row>
    <row r="3" spans="1:25" ht="42.5" customHeight="1" x14ac:dyDescent="0.25">
      <c r="A3" s="13" t="s">
        <v>3</v>
      </c>
      <c r="B3" s="13" t="s">
        <v>5</v>
      </c>
      <c r="C3" s="13" t="s">
        <v>7</v>
      </c>
      <c r="D3" s="13" t="s">
        <v>9</v>
      </c>
      <c r="E3" s="13" t="s">
        <v>10</v>
      </c>
      <c r="F3" s="13" t="s">
        <v>12</v>
      </c>
      <c r="G3" s="13" t="s">
        <v>14</v>
      </c>
      <c r="H3" s="10" t="s">
        <v>18</v>
      </c>
      <c r="I3" s="10" t="s">
        <v>20</v>
      </c>
      <c r="J3" s="10" t="s">
        <v>22</v>
      </c>
      <c r="K3" s="10" t="s">
        <v>39</v>
      </c>
      <c r="L3" s="8"/>
      <c r="M3" s="10" t="s">
        <v>38</v>
      </c>
      <c r="N3" s="8"/>
      <c r="O3" s="10" t="s">
        <v>37</v>
      </c>
      <c r="P3" s="8"/>
      <c r="Q3" s="10" t="s">
        <v>36</v>
      </c>
      <c r="R3" s="8"/>
      <c r="S3" s="10" t="s">
        <v>35</v>
      </c>
      <c r="T3" s="8"/>
      <c r="U3" s="10" t="s">
        <v>41</v>
      </c>
      <c r="V3" s="14" t="s">
        <v>44</v>
      </c>
      <c r="W3" s="15" t="s">
        <v>47</v>
      </c>
      <c r="X3" s="15" t="s">
        <v>49</v>
      </c>
      <c r="Y3" s="15" t="s">
        <v>51</v>
      </c>
    </row>
    <row r="4" spans="1:25" ht="38" customHeight="1" x14ac:dyDescent="0.25">
      <c r="A4" s="13" t="s">
        <v>3</v>
      </c>
      <c r="B4" s="13" t="s">
        <v>5</v>
      </c>
      <c r="C4" s="13" t="s">
        <v>7</v>
      </c>
      <c r="D4" s="13" t="s">
        <v>9</v>
      </c>
      <c r="E4" s="13" t="s">
        <v>10</v>
      </c>
      <c r="F4" s="13" t="s">
        <v>12</v>
      </c>
      <c r="G4" s="13" t="s">
        <v>14</v>
      </c>
      <c r="H4" s="10" t="s">
        <v>18</v>
      </c>
      <c r="I4" s="10" t="s">
        <v>20</v>
      </c>
      <c r="J4" s="10" t="s">
        <v>22</v>
      </c>
      <c r="K4" s="3" t="s">
        <v>24</v>
      </c>
      <c r="L4" s="3" t="s">
        <v>26</v>
      </c>
      <c r="M4" s="3" t="s">
        <v>24</v>
      </c>
      <c r="N4" s="3" t="s">
        <v>26</v>
      </c>
      <c r="O4" s="3" t="s">
        <v>24</v>
      </c>
      <c r="P4" s="3" t="s">
        <v>26</v>
      </c>
      <c r="Q4" s="3" t="s">
        <v>24</v>
      </c>
      <c r="R4" s="3" t="s">
        <v>26</v>
      </c>
      <c r="S4" s="3" t="s">
        <v>24</v>
      </c>
      <c r="T4" s="3" t="s">
        <v>26</v>
      </c>
      <c r="U4" s="10" t="s">
        <v>41</v>
      </c>
      <c r="V4" s="14" t="s">
        <v>44</v>
      </c>
      <c r="W4" s="15" t="s">
        <v>47</v>
      </c>
      <c r="X4" s="15" t="s">
        <v>49</v>
      </c>
      <c r="Y4" s="15" t="s">
        <v>51</v>
      </c>
    </row>
    <row r="5" spans="1:25" ht="15" customHeight="1" x14ac:dyDescent="0.25">
      <c r="A5" s="2" t="s">
        <v>2</v>
      </c>
      <c r="B5" s="2" t="s">
        <v>2</v>
      </c>
      <c r="C5" s="2" t="s">
        <v>2</v>
      </c>
      <c r="D5" s="2" t="s">
        <v>2</v>
      </c>
      <c r="E5" s="2" t="s">
        <v>2</v>
      </c>
      <c r="F5" s="2" t="s">
        <v>2</v>
      </c>
      <c r="G5" s="2" t="s">
        <v>2</v>
      </c>
      <c r="H5" s="2" t="s">
        <v>17</v>
      </c>
      <c r="I5" s="2" t="s">
        <v>17</v>
      </c>
      <c r="J5" s="2" t="s">
        <v>17</v>
      </c>
      <c r="K5" s="2" t="s">
        <v>2</v>
      </c>
      <c r="L5" s="2" t="s">
        <v>2</v>
      </c>
      <c r="M5" s="2" t="s">
        <v>2</v>
      </c>
      <c r="N5" s="2" t="s">
        <v>2</v>
      </c>
      <c r="O5" s="2" t="s">
        <v>2</v>
      </c>
      <c r="P5" s="2" t="s">
        <v>2</v>
      </c>
      <c r="Q5" s="2" t="s">
        <v>2</v>
      </c>
      <c r="R5" s="2" t="s">
        <v>2</v>
      </c>
      <c r="S5" s="2" t="s">
        <v>2</v>
      </c>
      <c r="T5" s="2" t="s">
        <v>2</v>
      </c>
      <c r="U5" s="2" t="s">
        <v>17</v>
      </c>
      <c r="V5" s="2" t="s">
        <v>2</v>
      </c>
      <c r="W5" s="2" t="s">
        <v>2</v>
      </c>
      <c r="X5" s="2" t="s">
        <v>2</v>
      </c>
      <c r="Y5" s="2" t="s">
        <v>2</v>
      </c>
    </row>
    <row r="6" spans="1:25" ht="50" customHeight="1" x14ac:dyDescent="0.25">
      <c r="A6" s="5" t="s">
        <v>53</v>
      </c>
      <c r="B6" s="5" t="s">
        <v>54</v>
      </c>
      <c r="C6" s="5" t="s">
        <v>55</v>
      </c>
      <c r="D6" s="5"/>
      <c r="E6" s="6" t="s">
        <v>56</v>
      </c>
      <c r="F6" s="5" t="s">
        <v>57</v>
      </c>
      <c r="G6" s="5" t="s">
        <v>57</v>
      </c>
      <c r="H6" s="7">
        <v>20</v>
      </c>
      <c r="I6" s="7">
        <v>30.49</v>
      </c>
      <c r="J6" s="7" t="s">
        <v>58</v>
      </c>
      <c r="K6" s="7"/>
      <c r="L6" s="7"/>
      <c r="M6" s="7"/>
      <c r="N6" s="7"/>
      <c r="O6" s="7"/>
      <c r="P6" s="7"/>
      <c r="Q6" s="7"/>
      <c r="R6" s="7"/>
      <c r="S6" s="7"/>
      <c r="T6" s="7"/>
      <c r="U6" s="7" t="s">
        <v>59</v>
      </c>
      <c r="V6" s="7" t="s">
        <v>60</v>
      </c>
      <c r="W6" s="7" t="s">
        <v>61</v>
      </c>
      <c r="X6" s="5" t="str">
        <f ca="1">IF(INDIRECT("W6")="Clássico","13%",IF(INDIRECT("W6")="Premium","17%","-"))</f>
        <v>13%</v>
      </c>
      <c r="Y6" s="7" t="s">
        <v>62</v>
      </c>
    </row>
    <row r="7" spans="1:25" ht="50" customHeight="1" x14ac:dyDescent="0.25">
      <c r="A7" s="5" t="s">
        <v>63</v>
      </c>
      <c r="B7" s="5" t="s">
        <v>64</v>
      </c>
      <c r="C7" s="5" t="s">
        <v>65</v>
      </c>
      <c r="D7" s="5"/>
      <c r="E7" s="6" t="s">
        <v>66</v>
      </c>
      <c r="F7" s="5" t="s">
        <v>67</v>
      </c>
      <c r="G7" s="5" t="s">
        <v>67</v>
      </c>
      <c r="H7" s="7">
        <v>8</v>
      </c>
      <c r="I7" s="7">
        <v>28.99</v>
      </c>
      <c r="J7" s="7" t="s">
        <v>58</v>
      </c>
      <c r="K7" s="7"/>
      <c r="L7" s="7"/>
      <c r="M7" s="7"/>
      <c r="N7" s="7"/>
      <c r="O7" s="7"/>
      <c r="P7" s="7"/>
      <c r="Q7" s="7"/>
      <c r="R7" s="7"/>
      <c r="S7" s="7"/>
      <c r="T7" s="7"/>
      <c r="U7" s="7" t="s">
        <v>59</v>
      </c>
      <c r="V7" s="7" t="s">
        <v>60</v>
      </c>
      <c r="W7" s="7" t="s">
        <v>61</v>
      </c>
      <c r="X7" s="5" t="str">
        <f ca="1">IF(INDIRECT("W7")="Clássico","13%",IF(INDIRECT("W7")="Premium","17%","-"))</f>
        <v>13%</v>
      </c>
      <c r="Y7" s="7" t="s">
        <v>62</v>
      </c>
    </row>
    <row r="8" spans="1:25" ht="50" customHeight="1" x14ac:dyDescent="0.25">
      <c r="A8" s="5" t="s">
        <v>68</v>
      </c>
      <c r="B8" s="5" t="s">
        <v>69</v>
      </c>
      <c r="C8" s="5" t="s">
        <v>70</v>
      </c>
      <c r="D8" s="5"/>
      <c r="E8" s="6" t="s">
        <v>71</v>
      </c>
      <c r="F8" s="5" t="s">
        <v>72</v>
      </c>
      <c r="G8" s="5" t="s">
        <v>72</v>
      </c>
      <c r="H8" s="7">
        <v>18</v>
      </c>
      <c r="I8" s="7">
        <v>28.49</v>
      </c>
      <c r="J8" s="7" t="s">
        <v>58</v>
      </c>
      <c r="K8" s="7"/>
      <c r="L8" s="7"/>
      <c r="M8" s="7"/>
      <c r="N8" s="7"/>
      <c r="O8" s="7"/>
      <c r="P8" s="7"/>
      <c r="Q8" s="7"/>
      <c r="R8" s="7"/>
      <c r="S8" s="7"/>
      <c r="T8" s="7"/>
      <c r="U8" s="7" t="s">
        <v>59</v>
      </c>
      <c r="V8" s="7" t="s">
        <v>60</v>
      </c>
      <c r="W8" s="7" t="s">
        <v>61</v>
      </c>
      <c r="X8" s="5" t="str">
        <f ca="1">IF(INDIRECT("W8")="Clássico","13%",IF(INDIRECT("W8")="Premium","17%","-"))</f>
        <v>13%</v>
      </c>
      <c r="Y8" s="7" t="s">
        <v>62</v>
      </c>
    </row>
    <row r="9" spans="1:25" ht="50" customHeight="1" x14ac:dyDescent="0.25">
      <c r="A9" s="5" t="s">
        <v>73</v>
      </c>
      <c r="B9" s="5" t="s">
        <v>74</v>
      </c>
      <c r="C9" s="5" t="s">
        <v>75</v>
      </c>
      <c r="D9" s="5"/>
      <c r="E9" s="6" t="s">
        <v>76</v>
      </c>
      <c r="F9" s="5" t="s">
        <v>77</v>
      </c>
      <c r="G9" s="5" t="s">
        <v>78</v>
      </c>
      <c r="H9" s="7">
        <v>19</v>
      </c>
      <c r="I9" s="7">
        <v>22.49</v>
      </c>
      <c r="J9" s="7" t="s">
        <v>58</v>
      </c>
      <c r="K9" s="7"/>
      <c r="L9" s="7"/>
      <c r="M9" s="7"/>
      <c r="N9" s="7"/>
      <c r="O9" s="7"/>
      <c r="P9" s="7"/>
      <c r="Q9" s="7"/>
      <c r="R9" s="7"/>
      <c r="S9" s="7"/>
      <c r="T9" s="7"/>
      <c r="U9" s="5" t="s">
        <v>59</v>
      </c>
      <c r="V9" s="7" t="s">
        <v>60</v>
      </c>
      <c r="W9" s="7" t="s">
        <v>61</v>
      </c>
      <c r="X9" s="5" t="str">
        <f ca="1">IF(INDIRECT("W9")="Clássico","13%",IF(INDIRECT("W9")="Premium","17%","-"))</f>
        <v>13%</v>
      </c>
      <c r="Y9" s="7" t="s">
        <v>62</v>
      </c>
    </row>
    <row r="10" spans="1:25" ht="50" customHeight="1" x14ac:dyDescent="0.25">
      <c r="A10" s="5" t="s">
        <v>79</v>
      </c>
      <c r="B10" s="5" t="s">
        <v>80</v>
      </c>
      <c r="C10" s="5" t="s">
        <v>81</v>
      </c>
      <c r="D10" s="5"/>
      <c r="E10" s="6" t="s">
        <v>82</v>
      </c>
      <c r="F10" s="5" t="s">
        <v>83</v>
      </c>
      <c r="G10" s="5" t="s">
        <v>78</v>
      </c>
      <c r="H10" s="7">
        <v>135</v>
      </c>
      <c r="I10" s="7">
        <v>28.49</v>
      </c>
      <c r="J10" s="7" t="s">
        <v>58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5" t="s">
        <v>59</v>
      </c>
      <c r="V10" s="7" t="s">
        <v>60</v>
      </c>
      <c r="W10" s="7" t="s">
        <v>84</v>
      </c>
      <c r="X10" s="5" t="str">
        <f ca="1">IF(INDIRECT("W10")="Clássico","13%",IF(INDIRECT("W10")="Premium","17%","-"))</f>
        <v>17%</v>
      </c>
      <c r="Y10" s="7" t="s">
        <v>62</v>
      </c>
    </row>
    <row r="11" spans="1:25" ht="50" customHeight="1" x14ac:dyDescent="0.25">
      <c r="A11" s="5" t="s">
        <v>85</v>
      </c>
      <c r="B11" s="5" t="s">
        <v>86</v>
      </c>
      <c r="C11" s="5" t="s">
        <v>87</v>
      </c>
      <c r="D11" s="5"/>
      <c r="E11" s="6" t="s">
        <v>88</v>
      </c>
      <c r="F11" s="5" t="s">
        <v>89</v>
      </c>
      <c r="G11" s="5" t="s">
        <v>90</v>
      </c>
      <c r="H11" s="7">
        <v>2</v>
      </c>
      <c r="I11" s="7">
        <v>38.49</v>
      </c>
      <c r="J11" s="7" t="s">
        <v>58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 t="s">
        <v>59</v>
      </c>
      <c r="V11" s="7" t="s">
        <v>60</v>
      </c>
      <c r="W11" s="7" t="s">
        <v>84</v>
      </c>
      <c r="X11" s="5" t="str">
        <f ca="1">IF(INDIRECT("W11")="Clássico","13%",IF(INDIRECT("W11")="Premium","17%","-"))</f>
        <v>17%</v>
      </c>
      <c r="Y11" s="7" t="s">
        <v>62</v>
      </c>
    </row>
    <row r="12" spans="1:25" ht="50" customHeight="1" x14ac:dyDescent="0.25">
      <c r="A12" s="5" t="s">
        <v>91</v>
      </c>
      <c r="B12" s="5" t="s">
        <v>92</v>
      </c>
      <c r="C12" s="5" t="s">
        <v>93</v>
      </c>
      <c r="D12" s="5"/>
      <c r="E12" s="6" t="s">
        <v>94</v>
      </c>
      <c r="F12" s="5" t="s">
        <v>95</v>
      </c>
      <c r="G12" s="5" t="s">
        <v>95</v>
      </c>
      <c r="H12" s="7">
        <v>20</v>
      </c>
      <c r="I12" s="7">
        <v>27.94</v>
      </c>
      <c r="J12" s="7" t="s">
        <v>58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 t="s">
        <v>59</v>
      </c>
      <c r="V12" s="7" t="s">
        <v>60</v>
      </c>
      <c r="W12" s="7" t="s">
        <v>61</v>
      </c>
      <c r="X12" s="5" t="str">
        <f ca="1">IF(INDIRECT("W12")="Clássico","13%",IF(INDIRECT("W12")="Premium","17%","-"))</f>
        <v>13%</v>
      </c>
      <c r="Y12" s="7" t="s">
        <v>62</v>
      </c>
    </row>
    <row r="13" spans="1:25" ht="50" customHeight="1" x14ac:dyDescent="0.25">
      <c r="A13" s="5" t="s">
        <v>96</v>
      </c>
      <c r="B13" s="5" t="s">
        <v>97</v>
      </c>
      <c r="C13" s="5" t="s">
        <v>98</v>
      </c>
      <c r="D13" s="5"/>
      <c r="E13" s="6" t="s">
        <v>99</v>
      </c>
      <c r="F13" s="5" t="s">
        <v>100</v>
      </c>
      <c r="G13" s="5" t="s">
        <v>100</v>
      </c>
      <c r="H13" s="7">
        <v>8</v>
      </c>
      <c r="I13" s="7">
        <v>89.49</v>
      </c>
      <c r="J13" s="7" t="s">
        <v>58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 t="s">
        <v>59</v>
      </c>
      <c r="V13" s="7" t="s">
        <v>101</v>
      </c>
      <c r="W13" s="7" t="s">
        <v>61</v>
      </c>
      <c r="X13" s="5" t="str">
        <f ca="1">IF(INDIRECT("W13")="Clássico","13%",IF(INDIRECT("W13")="Premium","17%","-"))</f>
        <v>13%</v>
      </c>
      <c r="Y13" s="7" t="s">
        <v>62</v>
      </c>
    </row>
    <row r="14" spans="1:25" ht="50" customHeight="1" x14ac:dyDescent="0.25">
      <c r="A14" s="5" t="s">
        <v>102</v>
      </c>
      <c r="B14" s="5" t="s">
        <v>103</v>
      </c>
      <c r="C14" s="5" t="s">
        <v>104</v>
      </c>
      <c r="D14" s="5"/>
      <c r="E14" s="6" t="s">
        <v>105</v>
      </c>
      <c r="F14" s="5" t="s">
        <v>106</v>
      </c>
      <c r="G14" s="5" t="s">
        <v>106</v>
      </c>
      <c r="H14" s="7">
        <v>22</v>
      </c>
      <c r="I14" s="7">
        <v>26.49</v>
      </c>
      <c r="J14" s="7" t="s">
        <v>58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 t="s">
        <v>59</v>
      </c>
      <c r="V14" s="7" t="s">
        <v>60</v>
      </c>
      <c r="W14" s="7" t="s">
        <v>61</v>
      </c>
      <c r="X14" s="5" t="str">
        <f ca="1">IF(INDIRECT("W14")="Clássico","13%",IF(INDIRECT("W14")="Premium","17%","-"))</f>
        <v>13%</v>
      </c>
      <c r="Y14" s="7" t="s">
        <v>62</v>
      </c>
    </row>
    <row r="15" spans="1:25" ht="50" customHeight="1" x14ac:dyDescent="0.25">
      <c r="A15" s="5" t="s">
        <v>107</v>
      </c>
      <c r="B15" s="5" t="s">
        <v>108</v>
      </c>
      <c r="C15" s="5" t="s">
        <v>109</v>
      </c>
      <c r="D15" s="5"/>
      <c r="E15" s="6" t="s">
        <v>110</v>
      </c>
      <c r="F15" s="5" t="s">
        <v>111</v>
      </c>
      <c r="G15" s="5" t="s">
        <v>111</v>
      </c>
      <c r="H15" s="7">
        <v>10</v>
      </c>
      <c r="I15" s="7">
        <v>28.49</v>
      </c>
      <c r="J15" s="7" t="s">
        <v>58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 t="s">
        <v>59</v>
      </c>
      <c r="V15" s="7" t="s">
        <v>60</v>
      </c>
      <c r="W15" s="7" t="s">
        <v>61</v>
      </c>
      <c r="X15" s="5" t="str">
        <f ca="1">IF(INDIRECT("W15")="Clássico","13%",IF(INDIRECT("W15")="Premium","17%","-"))</f>
        <v>13%</v>
      </c>
      <c r="Y15" s="7" t="s">
        <v>62</v>
      </c>
    </row>
    <row r="16" spans="1:25" ht="50" customHeight="1" x14ac:dyDescent="0.25">
      <c r="A16" s="5" t="s">
        <v>112</v>
      </c>
      <c r="B16" s="5" t="s">
        <v>113</v>
      </c>
      <c r="C16" s="5" t="s">
        <v>114</v>
      </c>
      <c r="D16" s="5"/>
      <c r="E16" s="6" t="s">
        <v>115</v>
      </c>
      <c r="F16" s="5" t="s">
        <v>116</v>
      </c>
      <c r="G16" s="5" t="s">
        <v>116</v>
      </c>
      <c r="H16" s="7">
        <v>117</v>
      </c>
      <c r="I16" s="7">
        <v>14.49</v>
      </c>
      <c r="J16" s="7" t="s">
        <v>58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 t="s">
        <v>59</v>
      </c>
      <c r="V16" s="7" t="s">
        <v>60</v>
      </c>
      <c r="W16" s="7" t="s">
        <v>61</v>
      </c>
      <c r="X16" s="5" t="str">
        <f ca="1">IF(INDIRECT("W16")="Clássico","11.5%",IF(INDIRECT("W16")="Premium","16.5%","-"))</f>
        <v>11.5%</v>
      </c>
      <c r="Y16" s="7" t="s">
        <v>62</v>
      </c>
    </row>
    <row r="17" spans="1:25" ht="50" customHeight="1" x14ac:dyDescent="0.25">
      <c r="A17" s="5" t="s">
        <v>117</v>
      </c>
      <c r="B17" s="5" t="s">
        <v>118</v>
      </c>
      <c r="C17" s="5" t="s">
        <v>119</v>
      </c>
      <c r="D17" s="5"/>
      <c r="E17" s="6" t="s">
        <v>120</v>
      </c>
      <c r="F17" s="5" t="s">
        <v>121</v>
      </c>
      <c r="G17" s="5" t="s">
        <v>121</v>
      </c>
      <c r="H17" s="7">
        <v>22</v>
      </c>
      <c r="I17" s="7">
        <v>27.49</v>
      </c>
      <c r="J17" s="7" t="s">
        <v>58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 t="s">
        <v>59</v>
      </c>
      <c r="V17" s="7" t="s">
        <v>60</v>
      </c>
      <c r="W17" s="7" t="s">
        <v>61</v>
      </c>
      <c r="X17" s="5" t="str">
        <f ca="1">IF(INDIRECT("W17")="Clássico","13%",IF(INDIRECT("W17")="Premium","17%","-"))</f>
        <v>13%</v>
      </c>
      <c r="Y17" s="7" t="s">
        <v>62</v>
      </c>
    </row>
    <row r="18" spans="1:25" ht="50" customHeight="1" x14ac:dyDescent="0.25">
      <c r="A18" s="5" t="s">
        <v>79</v>
      </c>
      <c r="B18" s="5" t="s">
        <v>122</v>
      </c>
      <c r="C18" s="5" t="s">
        <v>81</v>
      </c>
      <c r="D18" s="5"/>
      <c r="E18" s="6" t="s">
        <v>82</v>
      </c>
      <c r="F18" s="5" t="s">
        <v>123</v>
      </c>
      <c r="G18" s="5" t="s">
        <v>123</v>
      </c>
      <c r="H18" s="7">
        <v>135</v>
      </c>
      <c r="I18" s="7">
        <v>28.49</v>
      </c>
      <c r="J18" s="7" t="s">
        <v>58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 t="s">
        <v>59</v>
      </c>
      <c r="V18" s="7" t="s">
        <v>60</v>
      </c>
      <c r="W18" s="7" t="s">
        <v>84</v>
      </c>
      <c r="X18" s="5" t="str">
        <f ca="1">IF(INDIRECT("W18")="Clássico","13%",IF(INDIRECT("W18")="Premium","17%","-"))</f>
        <v>17%</v>
      </c>
      <c r="Y18" s="7" t="s">
        <v>62</v>
      </c>
    </row>
    <row r="19" spans="1:25" ht="50" customHeight="1" x14ac:dyDescent="0.25">
      <c r="A19" s="5" t="s">
        <v>124</v>
      </c>
      <c r="B19" s="5" t="s">
        <v>125</v>
      </c>
      <c r="C19" s="5" t="s">
        <v>126</v>
      </c>
      <c r="D19" s="5"/>
      <c r="E19" s="6" t="s">
        <v>127</v>
      </c>
      <c r="F19" s="5" t="s">
        <v>128</v>
      </c>
      <c r="G19" s="5" t="s">
        <v>78</v>
      </c>
      <c r="H19" s="7">
        <v>18</v>
      </c>
      <c r="I19" s="7">
        <v>78.900000000000006</v>
      </c>
      <c r="J19" s="7" t="s">
        <v>58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5" t="s">
        <v>59</v>
      </c>
      <c r="V19" s="7" t="s">
        <v>129</v>
      </c>
      <c r="W19" s="7" t="s">
        <v>61</v>
      </c>
      <c r="X19" s="5" t="str">
        <f ca="1">IF(INDIRECT("W19")="Clássico","14%",IF(INDIRECT("W19")="Premium","19%","-"))</f>
        <v>14%</v>
      </c>
      <c r="Y19" s="7" t="s">
        <v>62</v>
      </c>
    </row>
    <row r="20" spans="1:25" ht="50" customHeight="1" x14ac:dyDescent="0.25">
      <c r="A20" s="5" t="s">
        <v>130</v>
      </c>
      <c r="B20" s="5" t="s">
        <v>131</v>
      </c>
      <c r="C20" s="5" t="s">
        <v>132</v>
      </c>
      <c r="D20" s="5"/>
      <c r="E20" s="6" t="s">
        <v>133</v>
      </c>
      <c r="F20" s="5" t="s">
        <v>134</v>
      </c>
      <c r="G20" s="5" t="s">
        <v>134</v>
      </c>
      <c r="H20" s="7">
        <v>3</v>
      </c>
      <c r="I20" s="7">
        <v>33.49</v>
      </c>
      <c r="J20" s="7" t="s">
        <v>58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 t="s">
        <v>59</v>
      </c>
      <c r="V20" s="7" t="s">
        <v>60</v>
      </c>
      <c r="W20" s="7" t="s">
        <v>61</v>
      </c>
      <c r="X20" s="5" t="str">
        <f ca="1">IF(INDIRECT("W20")="Clássico","13%",IF(INDIRECT("W20")="Premium","17%","-"))</f>
        <v>13%</v>
      </c>
      <c r="Y20" s="7" t="s">
        <v>62</v>
      </c>
    </row>
    <row r="21" spans="1:25" ht="50" customHeight="1" x14ac:dyDescent="0.25">
      <c r="A21" s="5" t="s">
        <v>135</v>
      </c>
      <c r="B21" s="5" t="s">
        <v>136</v>
      </c>
      <c r="C21" s="5" t="s">
        <v>137</v>
      </c>
      <c r="D21" s="5"/>
      <c r="E21" s="6" t="s">
        <v>138</v>
      </c>
      <c r="F21" s="5" t="s">
        <v>139</v>
      </c>
      <c r="G21" s="5" t="s">
        <v>139</v>
      </c>
      <c r="H21" s="7">
        <v>10</v>
      </c>
      <c r="I21" s="7">
        <v>30.49</v>
      </c>
      <c r="J21" s="7" t="s">
        <v>58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 t="s">
        <v>59</v>
      </c>
      <c r="V21" s="7" t="s">
        <v>60</v>
      </c>
      <c r="W21" s="7" t="s">
        <v>61</v>
      </c>
      <c r="X21" s="5" t="str">
        <f ca="1">IF(INDIRECT("W21")="Clássico","13%",IF(INDIRECT("W21")="Premium","17%","-"))</f>
        <v>13%</v>
      </c>
      <c r="Y21" s="7" t="s">
        <v>62</v>
      </c>
    </row>
    <row r="22" spans="1:25" ht="50" customHeight="1" x14ac:dyDescent="0.25">
      <c r="A22" s="5" t="s">
        <v>140</v>
      </c>
      <c r="B22" s="5" t="s">
        <v>141</v>
      </c>
      <c r="C22" s="5" t="s">
        <v>142</v>
      </c>
      <c r="D22" s="5"/>
      <c r="E22" s="6" t="s">
        <v>143</v>
      </c>
      <c r="F22" s="5" t="s">
        <v>144</v>
      </c>
      <c r="G22" s="5" t="s">
        <v>145</v>
      </c>
      <c r="H22" s="7">
        <v>3</v>
      </c>
      <c r="I22" s="7">
        <v>35.49</v>
      </c>
      <c r="J22" s="7" t="s">
        <v>58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 t="s">
        <v>59</v>
      </c>
      <c r="V22" s="7" t="s">
        <v>60</v>
      </c>
      <c r="W22" s="7" t="s">
        <v>61</v>
      </c>
      <c r="X22" s="5" t="str">
        <f ca="1">IF(INDIRECT("W22")="Clássico","13%",IF(INDIRECT("W22")="Premium","17%","-"))</f>
        <v>13%</v>
      </c>
      <c r="Y22" s="7" t="s">
        <v>62</v>
      </c>
    </row>
    <row r="23" spans="1:25" ht="50" customHeight="1" x14ac:dyDescent="0.25">
      <c r="A23" s="5" t="s">
        <v>146</v>
      </c>
      <c r="B23" s="5" t="s">
        <v>147</v>
      </c>
      <c r="C23" s="5" t="s">
        <v>148</v>
      </c>
      <c r="D23" s="5"/>
      <c r="E23" s="6" t="s">
        <v>149</v>
      </c>
      <c r="F23" s="5" t="s">
        <v>150</v>
      </c>
      <c r="G23" s="5" t="s">
        <v>150</v>
      </c>
      <c r="H23" s="7">
        <v>11</v>
      </c>
      <c r="I23" s="7">
        <v>30.49</v>
      </c>
      <c r="J23" s="7" t="s">
        <v>58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 t="s">
        <v>59</v>
      </c>
      <c r="V23" s="7" t="s">
        <v>60</v>
      </c>
      <c r="W23" s="7" t="s">
        <v>61</v>
      </c>
      <c r="X23" s="5" t="str">
        <f ca="1">IF(INDIRECT("W23")="Clássico","13%",IF(INDIRECT("W23")="Premium","17%","-"))</f>
        <v>13%</v>
      </c>
      <c r="Y23" s="7" t="s">
        <v>62</v>
      </c>
    </row>
    <row r="24" spans="1:25" ht="50" customHeight="1" x14ac:dyDescent="0.25">
      <c r="A24" s="5" t="s">
        <v>151</v>
      </c>
      <c r="B24" s="5" t="s">
        <v>152</v>
      </c>
      <c r="C24" s="5" t="s">
        <v>153</v>
      </c>
      <c r="D24" s="5"/>
      <c r="E24" s="6" t="s">
        <v>154</v>
      </c>
      <c r="F24" s="5" t="s">
        <v>155</v>
      </c>
      <c r="G24" s="5" t="s">
        <v>155</v>
      </c>
      <c r="H24" s="7">
        <v>9</v>
      </c>
      <c r="I24" s="7">
        <v>14.49</v>
      </c>
      <c r="J24" s="7" t="s">
        <v>58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 t="s">
        <v>59</v>
      </c>
      <c r="V24" s="7" t="s">
        <v>60</v>
      </c>
      <c r="W24" s="7" t="s">
        <v>61</v>
      </c>
      <c r="X24" s="5" t="str">
        <f ca="1">IF(INDIRECT("W24")="Clássico","13%",IF(INDIRECT("W24")="Premium","17%","-"))</f>
        <v>13%</v>
      </c>
      <c r="Y24" s="7" t="s">
        <v>62</v>
      </c>
    </row>
    <row r="25" spans="1:25" ht="50" customHeight="1" x14ac:dyDescent="0.25">
      <c r="A25" s="5" t="s">
        <v>156</v>
      </c>
      <c r="B25" s="5" t="s">
        <v>157</v>
      </c>
      <c r="C25" s="5" t="s">
        <v>158</v>
      </c>
      <c r="D25" s="5"/>
      <c r="E25" s="6" t="s">
        <v>159</v>
      </c>
      <c r="F25" s="5" t="s">
        <v>160</v>
      </c>
      <c r="G25" s="5" t="s">
        <v>160</v>
      </c>
      <c r="H25" s="7">
        <v>9</v>
      </c>
      <c r="I25" s="7">
        <v>24.49</v>
      </c>
      <c r="J25" s="7" t="s">
        <v>58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 t="s">
        <v>59</v>
      </c>
      <c r="V25" s="7" t="s">
        <v>60</v>
      </c>
      <c r="W25" s="7" t="s">
        <v>61</v>
      </c>
      <c r="X25" s="5" t="str">
        <f ca="1">IF(INDIRECT("W25")="Clássico","13%",IF(INDIRECT("W25")="Premium","17%","-"))</f>
        <v>13%</v>
      </c>
      <c r="Y25" s="7" t="s">
        <v>62</v>
      </c>
    </row>
    <row r="26" spans="1:25" ht="50" customHeight="1" x14ac:dyDescent="0.25">
      <c r="A26" s="5" t="s">
        <v>161</v>
      </c>
      <c r="B26" s="5" t="s">
        <v>162</v>
      </c>
      <c r="C26" s="5" t="s">
        <v>163</v>
      </c>
      <c r="D26" s="5"/>
      <c r="E26" s="6" t="s">
        <v>164</v>
      </c>
      <c r="F26" s="5" t="s">
        <v>165</v>
      </c>
      <c r="G26" s="5" t="s">
        <v>166</v>
      </c>
      <c r="H26" s="7">
        <v>13</v>
      </c>
      <c r="I26" s="7">
        <v>14.49</v>
      </c>
      <c r="J26" s="7" t="s">
        <v>58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 t="s">
        <v>59</v>
      </c>
      <c r="V26" s="7" t="s">
        <v>60</v>
      </c>
      <c r="W26" s="7" t="s">
        <v>61</v>
      </c>
      <c r="X26" s="5" t="str">
        <f ca="1">IF(INDIRECT("W26")="Clássico","13%",IF(INDIRECT("W26")="Premium","17%","-"))</f>
        <v>13%</v>
      </c>
      <c r="Y26" s="7" t="s">
        <v>62</v>
      </c>
    </row>
    <row r="27" spans="1:25" ht="50" customHeight="1" x14ac:dyDescent="0.25">
      <c r="A27" s="5" t="s">
        <v>167</v>
      </c>
      <c r="B27" s="5" t="s">
        <v>168</v>
      </c>
      <c r="C27" s="5" t="s">
        <v>169</v>
      </c>
      <c r="D27" s="5"/>
      <c r="E27" s="6" t="s">
        <v>170</v>
      </c>
      <c r="F27" s="5" t="s">
        <v>171</v>
      </c>
      <c r="G27" s="5" t="s">
        <v>171</v>
      </c>
      <c r="H27" s="7">
        <v>9</v>
      </c>
      <c r="I27" s="7">
        <v>24.45</v>
      </c>
      <c r="J27" s="7" t="s">
        <v>58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 t="s">
        <v>59</v>
      </c>
      <c r="V27" s="7" t="s">
        <v>60</v>
      </c>
      <c r="W27" s="7" t="s">
        <v>61</v>
      </c>
      <c r="X27" s="5" t="str">
        <f ca="1">IF(INDIRECT("W27")="Clássico","13%",IF(INDIRECT("W27")="Premium","17%","-"))</f>
        <v>13%</v>
      </c>
      <c r="Y27" s="7" t="s">
        <v>62</v>
      </c>
    </row>
    <row r="28" spans="1:25" ht="50" customHeight="1" x14ac:dyDescent="0.25">
      <c r="A28" s="5" t="s">
        <v>172</v>
      </c>
      <c r="B28" s="5" t="s">
        <v>173</v>
      </c>
      <c r="C28" s="5" t="s">
        <v>174</v>
      </c>
      <c r="D28" s="5"/>
      <c r="E28" s="6" t="s">
        <v>175</v>
      </c>
      <c r="F28" s="5" t="s">
        <v>176</v>
      </c>
      <c r="G28" s="5" t="s">
        <v>176</v>
      </c>
      <c r="H28" s="7">
        <v>11</v>
      </c>
      <c r="I28" s="7">
        <v>28.49</v>
      </c>
      <c r="J28" s="7" t="s">
        <v>58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 t="s">
        <v>59</v>
      </c>
      <c r="V28" s="7" t="s">
        <v>60</v>
      </c>
      <c r="W28" s="7" t="s">
        <v>61</v>
      </c>
      <c r="X28" s="5" t="str">
        <f ca="1">IF(INDIRECT("W28")="Clássico","13%",IF(INDIRECT("W28")="Premium","17%","-"))</f>
        <v>13%</v>
      </c>
      <c r="Y28" s="7" t="s">
        <v>62</v>
      </c>
    </row>
    <row r="29" spans="1:25" ht="50" customHeight="1" x14ac:dyDescent="0.25">
      <c r="A29" s="5" t="s">
        <v>177</v>
      </c>
      <c r="B29" s="5" t="s">
        <v>178</v>
      </c>
      <c r="C29" s="5" t="s">
        <v>179</v>
      </c>
      <c r="D29" s="5"/>
      <c r="E29" s="6" t="s">
        <v>180</v>
      </c>
      <c r="F29" s="5" t="s">
        <v>181</v>
      </c>
      <c r="G29" s="5" t="s">
        <v>181</v>
      </c>
      <c r="H29" s="7">
        <v>3</v>
      </c>
      <c r="I29" s="7">
        <v>28.49</v>
      </c>
      <c r="J29" s="7" t="s">
        <v>58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 t="s">
        <v>59</v>
      </c>
      <c r="V29" s="7" t="s">
        <v>60</v>
      </c>
      <c r="W29" s="7" t="s">
        <v>61</v>
      </c>
      <c r="X29" s="5" t="str">
        <f ca="1">IF(INDIRECT("W29")="Clássico","13%",IF(INDIRECT("W29")="Premium","17%","-"))</f>
        <v>13%</v>
      </c>
      <c r="Y29" s="7" t="s">
        <v>62</v>
      </c>
    </row>
    <row r="30" spans="1:25" ht="50" customHeight="1" x14ac:dyDescent="0.25">
      <c r="A30" s="5" t="s">
        <v>182</v>
      </c>
      <c r="B30" s="5" t="s">
        <v>183</v>
      </c>
      <c r="C30" s="5" t="s">
        <v>184</v>
      </c>
      <c r="D30" s="5"/>
      <c r="E30" s="6" t="s">
        <v>185</v>
      </c>
      <c r="F30" s="5" t="s">
        <v>186</v>
      </c>
      <c r="G30" s="5" t="s">
        <v>186</v>
      </c>
      <c r="H30" s="7">
        <v>14</v>
      </c>
      <c r="I30" s="7">
        <v>25.49</v>
      </c>
      <c r="J30" s="7" t="s">
        <v>58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 t="s">
        <v>59</v>
      </c>
      <c r="V30" s="7" t="s">
        <v>60</v>
      </c>
      <c r="W30" s="7" t="s">
        <v>84</v>
      </c>
      <c r="X30" s="5" t="str">
        <f ca="1">IF(INDIRECT("W30")="Clássico","13%",IF(INDIRECT("W30")="Premium","17%","-"))</f>
        <v>17%</v>
      </c>
      <c r="Y30" s="7" t="s">
        <v>62</v>
      </c>
    </row>
    <row r="31" spans="1:25" ht="50" customHeight="1" x14ac:dyDescent="0.25">
      <c r="A31" s="5" t="s">
        <v>187</v>
      </c>
      <c r="B31" s="5" t="s">
        <v>188</v>
      </c>
      <c r="C31" s="5" t="s">
        <v>189</v>
      </c>
      <c r="D31" s="5"/>
      <c r="E31" s="6" t="s">
        <v>190</v>
      </c>
      <c r="F31" s="5" t="s">
        <v>191</v>
      </c>
      <c r="G31" s="5" t="s">
        <v>78</v>
      </c>
      <c r="H31" s="7">
        <v>23</v>
      </c>
      <c r="I31" s="7">
        <v>30.49</v>
      </c>
      <c r="J31" s="7" t="s">
        <v>58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5" t="s">
        <v>59</v>
      </c>
      <c r="V31" s="7" t="s">
        <v>60</v>
      </c>
      <c r="W31" s="7" t="s">
        <v>61</v>
      </c>
      <c r="X31" s="5" t="str">
        <f ca="1">IF(INDIRECT("W31")="Clássico","13%",IF(INDIRECT("W31")="Premium","17%","-"))</f>
        <v>13%</v>
      </c>
      <c r="Y31" s="7" t="s">
        <v>62</v>
      </c>
    </row>
    <row r="32" spans="1:25" ht="50" customHeight="1" x14ac:dyDescent="0.25">
      <c r="A32" s="5" t="s">
        <v>192</v>
      </c>
      <c r="B32" s="5" t="s">
        <v>193</v>
      </c>
      <c r="C32" s="5" t="s">
        <v>194</v>
      </c>
      <c r="D32" s="5"/>
      <c r="E32" s="6" t="s">
        <v>195</v>
      </c>
      <c r="F32" s="5" t="s">
        <v>196</v>
      </c>
      <c r="G32" s="5" t="s">
        <v>196</v>
      </c>
      <c r="H32" s="7">
        <v>10</v>
      </c>
      <c r="I32" s="7">
        <v>59.9</v>
      </c>
      <c r="J32" s="7" t="s">
        <v>58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 t="s">
        <v>59</v>
      </c>
      <c r="V32" s="7" t="s">
        <v>60</v>
      </c>
      <c r="W32" s="7" t="s">
        <v>84</v>
      </c>
      <c r="X32" s="5" t="str">
        <f ca="1">IF(INDIRECT("W32")="Clássico","14%",IF(INDIRECT("W32")="Premium","19%","-"))</f>
        <v>19%</v>
      </c>
      <c r="Y32" s="7" t="s">
        <v>62</v>
      </c>
    </row>
    <row r="33" spans="1:25" ht="50" customHeight="1" x14ac:dyDescent="0.25">
      <c r="A33" s="5" t="s">
        <v>197</v>
      </c>
      <c r="B33" s="5" t="s">
        <v>198</v>
      </c>
      <c r="C33" s="5" t="s">
        <v>199</v>
      </c>
      <c r="D33" s="5"/>
      <c r="E33" s="6" t="s">
        <v>200</v>
      </c>
      <c r="F33" s="5" t="s">
        <v>201</v>
      </c>
      <c r="G33" s="5" t="s">
        <v>201</v>
      </c>
      <c r="H33" s="7">
        <v>8</v>
      </c>
      <c r="I33" s="7">
        <v>26.49</v>
      </c>
      <c r="J33" s="7" t="s">
        <v>58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 t="s">
        <v>59</v>
      </c>
      <c r="V33" s="7" t="s">
        <v>60</v>
      </c>
      <c r="W33" s="7" t="s">
        <v>61</v>
      </c>
      <c r="X33" s="5" t="str">
        <f ca="1">IF(INDIRECT("W33")="Clássico","13%",IF(INDIRECT("W33")="Premium","17%","-"))</f>
        <v>13%</v>
      </c>
      <c r="Y33" s="7" t="s">
        <v>62</v>
      </c>
    </row>
    <row r="34" spans="1:25" ht="50" customHeight="1" x14ac:dyDescent="0.25">
      <c r="A34" s="5" t="s">
        <v>202</v>
      </c>
      <c r="B34" s="5" t="s">
        <v>203</v>
      </c>
      <c r="C34" s="5" t="s">
        <v>204</v>
      </c>
      <c r="D34" s="5"/>
      <c r="E34" s="6" t="s">
        <v>205</v>
      </c>
      <c r="F34" s="5" t="s">
        <v>206</v>
      </c>
      <c r="G34" s="5" t="s">
        <v>207</v>
      </c>
      <c r="H34" s="7">
        <v>32</v>
      </c>
      <c r="I34" s="7">
        <v>35.49</v>
      </c>
      <c r="J34" s="7" t="s">
        <v>58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 t="s">
        <v>59</v>
      </c>
      <c r="V34" s="7" t="s">
        <v>60</v>
      </c>
      <c r="W34" s="7" t="s">
        <v>61</v>
      </c>
      <c r="X34" s="5" t="str">
        <f ca="1">IF(INDIRECT("W34")="Clássico","13%",IF(INDIRECT("W34")="Premium","17%","-"))</f>
        <v>13%</v>
      </c>
      <c r="Y34" s="7" t="s">
        <v>62</v>
      </c>
    </row>
    <row r="35" spans="1:25" ht="50" customHeight="1" x14ac:dyDescent="0.25">
      <c r="A35" s="5" t="s">
        <v>208</v>
      </c>
      <c r="B35" s="5" t="s">
        <v>209</v>
      </c>
      <c r="C35" s="5" t="s">
        <v>210</v>
      </c>
      <c r="D35" s="5"/>
      <c r="E35" s="6" t="s">
        <v>211</v>
      </c>
      <c r="F35" s="5" t="s">
        <v>212</v>
      </c>
      <c r="G35" s="5" t="s">
        <v>212</v>
      </c>
      <c r="H35" s="7">
        <v>47</v>
      </c>
      <c r="I35" s="7">
        <v>22.49</v>
      </c>
      <c r="J35" s="7" t="s">
        <v>58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59</v>
      </c>
      <c r="V35" s="7" t="s">
        <v>60</v>
      </c>
      <c r="W35" s="7" t="s">
        <v>61</v>
      </c>
      <c r="X35" s="5" t="str">
        <f ca="1">IF(INDIRECT("W35")="Clássico","13%",IF(INDIRECT("W35")="Premium","17%","-"))</f>
        <v>13%</v>
      </c>
      <c r="Y35" s="7" t="s">
        <v>62</v>
      </c>
    </row>
    <row r="36" spans="1:25" ht="50" customHeight="1" x14ac:dyDescent="0.25">
      <c r="A36" s="5" t="s">
        <v>213</v>
      </c>
      <c r="B36" s="5" t="s">
        <v>214</v>
      </c>
      <c r="C36" s="5" t="s">
        <v>215</v>
      </c>
      <c r="D36" s="5"/>
      <c r="E36" s="6" t="s">
        <v>216</v>
      </c>
      <c r="F36" s="5" t="s">
        <v>217</v>
      </c>
      <c r="G36" s="5" t="s">
        <v>217</v>
      </c>
      <c r="H36" s="7">
        <v>2</v>
      </c>
      <c r="I36" s="7">
        <v>28.49</v>
      </c>
      <c r="J36" s="7" t="s">
        <v>58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 t="s">
        <v>59</v>
      </c>
      <c r="V36" s="7" t="s">
        <v>60</v>
      </c>
      <c r="W36" s="7" t="s">
        <v>61</v>
      </c>
      <c r="X36" s="5" t="str">
        <f ca="1">IF(INDIRECT("W36")="Clássico","13%",IF(INDIRECT("W36")="Premium","17%","-"))</f>
        <v>13%</v>
      </c>
      <c r="Y36" s="7" t="s">
        <v>62</v>
      </c>
    </row>
    <row r="37" spans="1:25" ht="50" customHeight="1" x14ac:dyDescent="0.25">
      <c r="A37" s="5" t="s">
        <v>218</v>
      </c>
      <c r="B37" s="5" t="s">
        <v>219</v>
      </c>
      <c r="C37" s="5" t="s">
        <v>220</v>
      </c>
      <c r="D37" s="5"/>
      <c r="E37" s="6" t="s">
        <v>221</v>
      </c>
      <c r="F37" s="5" t="s">
        <v>222</v>
      </c>
      <c r="G37" s="5" t="s">
        <v>222</v>
      </c>
      <c r="H37" s="7">
        <v>1</v>
      </c>
      <c r="I37" s="7">
        <v>157.49</v>
      </c>
      <c r="J37" s="7" t="s">
        <v>58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 t="s">
        <v>59</v>
      </c>
      <c r="V37" s="7" t="s">
        <v>129</v>
      </c>
      <c r="W37" s="7" t="s">
        <v>84</v>
      </c>
      <c r="X37" s="5" t="str">
        <f ca="1">IF(INDIRECT("W37")="Clássico","14%",IF(INDIRECT("W37")="Premium","19%","-"))</f>
        <v>19%</v>
      </c>
      <c r="Y37" s="7" t="s">
        <v>62</v>
      </c>
    </row>
    <row r="38" spans="1:25" ht="50" customHeight="1" x14ac:dyDescent="0.25">
      <c r="A38" s="5" t="s">
        <v>223</v>
      </c>
      <c r="B38" s="5" t="s">
        <v>224</v>
      </c>
      <c r="C38" s="5" t="s">
        <v>225</v>
      </c>
      <c r="D38" s="5"/>
      <c r="E38" s="6" t="s">
        <v>226</v>
      </c>
      <c r="F38" s="5" t="s">
        <v>227</v>
      </c>
      <c r="G38" s="5" t="s">
        <v>227</v>
      </c>
      <c r="H38" s="7">
        <v>25</v>
      </c>
      <c r="I38" s="7">
        <v>24.49</v>
      </c>
      <c r="J38" s="7" t="s">
        <v>58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59</v>
      </c>
      <c r="V38" s="7" t="s">
        <v>60</v>
      </c>
      <c r="W38" s="7" t="s">
        <v>61</v>
      </c>
      <c r="X38" s="5" t="str">
        <f ca="1">IF(INDIRECT("W38")="Clássico","13%",IF(INDIRECT("W38")="Premium","17%","-"))</f>
        <v>13%</v>
      </c>
      <c r="Y38" s="7" t="s">
        <v>62</v>
      </c>
    </row>
    <row r="39" spans="1:25" ht="50" customHeight="1" x14ac:dyDescent="0.25">
      <c r="A39" s="5" t="s">
        <v>228</v>
      </c>
      <c r="B39" s="5" t="s">
        <v>229</v>
      </c>
      <c r="C39" s="5" t="s">
        <v>230</v>
      </c>
      <c r="D39" s="5"/>
      <c r="E39" s="6" t="s">
        <v>231</v>
      </c>
      <c r="F39" s="5" t="s">
        <v>232</v>
      </c>
      <c r="G39" s="5" t="s">
        <v>232</v>
      </c>
      <c r="H39" s="7">
        <v>2</v>
      </c>
      <c r="I39" s="7">
        <v>18.05</v>
      </c>
      <c r="J39" s="7" t="s">
        <v>58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59</v>
      </c>
      <c r="V39" s="7" t="s">
        <v>60</v>
      </c>
      <c r="W39" s="7" t="s">
        <v>61</v>
      </c>
      <c r="X39" s="5" t="str">
        <f ca="1">IF(INDIRECT("W39")="Clássico","14%",IF(INDIRECT("W39")="Premium","19%","-"))</f>
        <v>14%</v>
      </c>
      <c r="Y39" s="7" t="s">
        <v>62</v>
      </c>
    </row>
    <row r="40" spans="1:25" ht="50" customHeight="1" x14ac:dyDescent="0.25">
      <c r="A40" s="5" t="s">
        <v>233</v>
      </c>
      <c r="B40" s="5" t="s">
        <v>234</v>
      </c>
      <c r="C40" s="5" t="s">
        <v>235</v>
      </c>
      <c r="D40" s="5"/>
      <c r="E40" s="6" t="s">
        <v>236</v>
      </c>
      <c r="F40" s="5" t="s">
        <v>237</v>
      </c>
      <c r="G40" s="5" t="s">
        <v>237</v>
      </c>
      <c r="H40" s="7">
        <v>9</v>
      </c>
      <c r="I40" s="7">
        <v>16.41</v>
      </c>
      <c r="J40" s="7" t="s">
        <v>58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 t="s">
        <v>59</v>
      </c>
      <c r="V40" s="7" t="s">
        <v>60</v>
      </c>
      <c r="W40" s="7" t="s">
        <v>61</v>
      </c>
      <c r="X40" s="5" t="str">
        <f ca="1">IF(INDIRECT("W40")="Clássico","14%",IF(INDIRECT("W40")="Premium","19%","-"))</f>
        <v>14%</v>
      </c>
      <c r="Y40" s="7" t="s">
        <v>62</v>
      </c>
    </row>
    <row r="41" spans="1:25" ht="50" customHeight="1" x14ac:dyDescent="0.25">
      <c r="A41" s="5" t="s">
        <v>238</v>
      </c>
      <c r="B41" s="5" t="s">
        <v>239</v>
      </c>
      <c r="C41" s="5" t="s">
        <v>240</v>
      </c>
      <c r="D41" s="5"/>
      <c r="E41" s="6" t="s">
        <v>241</v>
      </c>
      <c r="F41" s="5" t="s">
        <v>242</v>
      </c>
      <c r="G41" s="5" t="s">
        <v>242</v>
      </c>
      <c r="H41" s="7">
        <v>5</v>
      </c>
      <c r="I41" s="7">
        <v>30.49</v>
      </c>
      <c r="J41" s="7" t="s">
        <v>58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 t="s">
        <v>59</v>
      </c>
      <c r="V41" s="7" t="s">
        <v>60</v>
      </c>
      <c r="W41" s="7" t="s">
        <v>61</v>
      </c>
      <c r="X41" s="5" t="str">
        <f ca="1">IF(INDIRECT("W41")="Clássico","13%",IF(INDIRECT("W41")="Premium","17%","-"))</f>
        <v>13%</v>
      </c>
      <c r="Y41" s="7" t="s">
        <v>62</v>
      </c>
    </row>
    <row r="42" spans="1:25" ht="50" customHeight="1" x14ac:dyDescent="0.25">
      <c r="A42" s="5" t="s">
        <v>243</v>
      </c>
      <c r="B42" s="5" t="s">
        <v>244</v>
      </c>
      <c r="C42" s="5" t="s">
        <v>245</v>
      </c>
      <c r="D42" s="5"/>
      <c r="E42" s="6" t="s">
        <v>246</v>
      </c>
      <c r="F42" s="5" t="s">
        <v>247</v>
      </c>
      <c r="G42" s="5" t="s">
        <v>247</v>
      </c>
      <c r="H42" s="7">
        <v>5</v>
      </c>
      <c r="I42" s="7">
        <v>26.49</v>
      </c>
      <c r="J42" s="7" t="s">
        <v>58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59</v>
      </c>
      <c r="V42" s="7" t="s">
        <v>60</v>
      </c>
      <c r="W42" s="7" t="s">
        <v>61</v>
      </c>
      <c r="X42" s="5" t="str">
        <f ca="1">IF(INDIRECT("W42")="Clássico","13%",IF(INDIRECT("W42")="Premium","17%","-"))</f>
        <v>13%</v>
      </c>
      <c r="Y42" s="7" t="s">
        <v>62</v>
      </c>
    </row>
    <row r="43" spans="1:25" ht="50" customHeight="1" x14ac:dyDescent="0.25">
      <c r="A43" s="5" t="s">
        <v>248</v>
      </c>
      <c r="B43" s="5" t="s">
        <v>249</v>
      </c>
      <c r="C43" s="5" t="s">
        <v>250</v>
      </c>
      <c r="D43" s="5"/>
      <c r="E43" s="6" t="s">
        <v>251</v>
      </c>
      <c r="F43" s="5" t="s">
        <v>252</v>
      </c>
      <c r="G43" s="5" t="s">
        <v>252</v>
      </c>
      <c r="H43" s="7">
        <v>9</v>
      </c>
      <c r="I43" s="7">
        <v>30.49</v>
      </c>
      <c r="J43" s="7" t="s">
        <v>58</v>
      </c>
      <c r="K43" s="7">
        <v>27.9</v>
      </c>
      <c r="L43" s="7">
        <v>3</v>
      </c>
      <c r="M43" s="7"/>
      <c r="N43" s="7"/>
      <c r="O43" s="7"/>
      <c r="P43" s="7"/>
      <c r="Q43" s="7"/>
      <c r="R43" s="7"/>
      <c r="S43" s="7"/>
      <c r="T43" s="7"/>
      <c r="U43" s="7" t="s">
        <v>59</v>
      </c>
      <c r="V43" s="7" t="s">
        <v>60</v>
      </c>
      <c r="W43" s="7" t="s">
        <v>61</v>
      </c>
      <c r="X43" s="5" t="str">
        <f ca="1">IF(INDIRECT("W43")="Clássico","12%",IF(INDIRECT("W43")="Premium","17%","-"))</f>
        <v>12%</v>
      </c>
      <c r="Y43" s="7" t="s">
        <v>62</v>
      </c>
    </row>
    <row r="44" spans="1:25" ht="50" customHeight="1" x14ac:dyDescent="0.25">
      <c r="A44" s="5" t="s">
        <v>253</v>
      </c>
      <c r="B44" s="5" t="s">
        <v>254</v>
      </c>
      <c r="C44" s="5" t="s">
        <v>255</v>
      </c>
      <c r="D44" s="5"/>
      <c r="E44" s="6" t="s">
        <v>256</v>
      </c>
      <c r="F44" s="5" t="s">
        <v>257</v>
      </c>
      <c r="G44" s="5" t="s">
        <v>257</v>
      </c>
      <c r="H44" s="7">
        <v>4</v>
      </c>
      <c r="I44" s="7">
        <v>33.49</v>
      </c>
      <c r="J44" s="7" t="s">
        <v>58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 t="s">
        <v>59</v>
      </c>
      <c r="V44" s="7" t="s">
        <v>60</v>
      </c>
      <c r="W44" s="7" t="s">
        <v>61</v>
      </c>
      <c r="X44" s="5" t="str">
        <f ca="1">IF(INDIRECT("W44")="Clássico","13%",IF(INDIRECT("W44")="Premium","17%","-"))</f>
        <v>13%</v>
      </c>
      <c r="Y44" s="7" t="s">
        <v>62</v>
      </c>
    </row>
    <row r="45" spans="1:25" ht="50" customHeight="1" x14ac:dyDescent="0.25">
      <c r="A45" s="5" t="s">
        <v>258</v>
      </c>
      <c r="B45" s="5" t="s">
        <v>259</v>
      </c>
      <c r="C45" s="5" t="s">
        <v>260</v>
      </c>
      <c r="D45" s="5"/>
      <c r="E45" s="6" t="s">
        <v>261</v>
      </c>
      <c r="F45" s="5" t="s">
        <v>262</v>
      </c>
      <c r="G45" s="5" t="s">
        <v>262</v>
      </c>
      <c r="H45" s="7">
        <v>7</v>
      </c>
      <c r="I45" s="7">
        <v>28.49</v>
      </c>
      <c r="J45" s="7" t="s">
        <v>58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 t="s">
        <v>59</v>
      </c>
      <c r="V45" s="7" t="s">
        <v>60</v>
      </c>
      <c r="W45" s="7" t="s">
        <v>61</v>
      </c>
      <c r="X45" s="5" t="str">
        <f ca="1">IF(INDIRECT("W45")="Clássico","13%",IF(INDIRECT("W45")="Premium","17%","-"))</f>
        <v>13%</v>
      </c>
      <c r="Y45" s="7" t="s">
        <v>62</v>
      </c>
    </row>
    <row r="46" spans="1:25" ht="50" customHeight="1" x14ac:dyDescent="0.25">
      <c r="A46" s="5" t="s">
        <v>263</v>
      </c>
      <c r="B46" s="5" t="s">
        <v>264</v>
      </c>
      <c r="C46" s="5" t="s">
        <v>265</v>
      </c>
      <c r="D46" s="5"/>
      <c r="E46" s="6" t="s">
        <v>266</v>
      </c>
      <c r="F46" s="5" t="s">
        <v>267</v>
      </c>
      <c r="G46" s="5" t="s">
        <v>267</v>
      </c>
      <c r="H46" s="7">
        <v>5</v>
      </c>
      <c r="I46" s="7">
        <v>22.49</v>
      </c>
      <c r="J46" s="7" t="s">
        <v>58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 t="s">
        <v>59</v>
      </c>
      <c r="V46" s="7" t="s">
        <v>60</v>
      </c>
      <c r="W46" s="7" t="s">
        <v>61</v>
      </c>
      <c r="X46" s="5" t="str">
        <f ca="1">IF(INDIRECT("W46")="Clássico","13%",IF(INDIRECT("W46")="Premium","17%","-"))</f>
        <v>13%</v>
      </c>
      <c r="Y46" s="7" t="s">
        <v>62</v>
      </c>
    </row>
    <row r="47" spans="1:25" ht="50" customHeight="1" x14ac:dyDescent="0.25">
      <c r="A47" s="5" t="s">
        <v>268</v>
      </c>
      <c r="B47" s="5" t="s">
        <v>269</v>
      </c>
      <c r="C47" s="5" t="s">
        <v>270</v>
      </c>
      <c r="D47" s="5"/>
      <c r="E47" s="6" t="s">
        <v>271</v>
      </c>
      <c r="F47" s="5" t="s">
        <v>272</v>
      </c>
      <c r="G47" s="5" t="s">
        <v>272</v>
      </c>
      <c r="H47" s="7">
        <v>11</v>
      </c>
      <c r="I47" s="7">
        <v>24.99</v>
      </c>
      <c r="J47" s="7" t="s">
        <v>58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 t="s">
        <v>59</v>
      </c>
      <c r="V47" s="7" t="s">
        <v>60</v>
      </c>
      <c r="W47" s="7" t="s">
        <v>84</v>
      </c>
      <c r="X47" s="5" t="str">
        <f ca="1">IF(INDIRECT("W47")="Clássico","13%",IF(INDIRECT("W47")="Premium","17%","-"))</f>
        <v>17%</v>
      </c>
      <c r="Y47" s="7" t="s">
        <v>62</v>
      </c>
    </row>
    <row r="48" spans="1:25" ht="50" customHeight="1" x14ac:dyDescent="0.25">
      <c r="A48" s="5" t="s">
        <v>273</v>
      </c>
      <c r="B48" s="5" t="s">
        <v>274</v>
      </c>
      <c r="C48" s="5" t="s">
        <v>275</v>
      </c>
      <c r="D48" s="5"/>
      <c r="E48" s="6" t="s">
        <v>276</v>
      </c>
      <c r="F48" s="5" t="s">
        <v>277</v>
      </c>
      <c r="G48" s="5" t="s">
        <v>277</v>
      </c>
      <c r="H48" s="7">
        <v>14</v>
      </c>
      <c r="I48" s="7">
        <v>29.99</v>
      </c>
      <c r="J48" s="7" t="s">
        <v>58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 t="s">
        <v>59</v>
      </c>
      <c r="V48" s="7" t="s">
        <v>60</v>
      </c>
      <c r="W48" s="7" t="s">
        <v>84</v>
      </c>
      <c r="X48" s="5" t="str">
        <f ca="1">IF(INDIRECT("W48")="Clássico","13%",IF(INDIRECT("W48")="Premium","17%","-"))</f>
        <v>17%</v>
      </c>
      <c r="Y48" s="7" t="s">
        <v>62</v>
      </c>
    </row>
    <row r="49" spans="1:25" ht="50" customHeight="1" x14ac:dyDescent="0.25">
      <c r="A49" s="5" t="s">
        <v>278</v>
      </c>
      <c r="B49" s="5" t="s">
        <v>279</v>
      </c>
      <c r="C49" s="5" t="s">
        <v>280</v>
      </c>
      <c r="D49" s="5"/>
      <c r="E49" s="6" t="s">
        <v>281</v>
      </c>
      <c r="F49" s="5" t="s">
        <v>282</v>
      </c>
      <c r="G49" s="5" t="s">
        <v>282</v>
      </c>
      <c r="H49" s="7">
        <v>9</v>
      </c>
      <c r="I49" s="7">
        <v>89.9</v>
      </c>
      <c r="J49" s="7" t="s">
        <v>58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59</v>
      </c>
      <c r="V49" s="7" t="s">
        <v>129</v>
      </c>
      <c r="W49" s="7" t="s">
        <v>84</v>
      </c>
      <c r="X49" s="5" t="str">
        <f ca="1">IF(INDIRECT("W49")="Clássico","12%",IF(INDIRECT("W49")="Premium","17%","-"))</f>
        <v>17%</v>
      </c>
      <c r="Y49" s="7" t="s">
        <v>62</v>
      </c>
    </row>
    <row r="50" spans="1:25" ht="50" customHeight="1" x14ac:dyDescent="0.25">
      <c r="A50" s="5" t="s">
        <v>283</v>
      </c>
      <c r="B50" s="5" t="s">
        <v>284</v>
      </c>
      <c r="C50" s="5" t="s">
        <v>285</v>
      </c>
      <c r="D50" s="5"/>
      <c r="E50" s="6" t="s">
        <v>286</v>
      </c>
      <c r="F50" s="6" t="s">
        <v>287</v>
      </c>
      <c r="G50" s="5" t="s">
        <v>287</v>
      </c>
      <c r="H50" s="7">
        <v>100</v>
      </c>
      <c r="I50" s="7">
        <v>53.9</v>
      </c>
      <c r="J50" s="7" t="s">
        <v>58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5" t="s">
        <v>59</v>
      </c>
      <c r="V50" s="7" t="s">
        <v>60</v>
      </c>
      <c r="W50" s="7" t="s">
        <v>61</v>
      </c>
      <c r="X50" s="5" t="str">
        <f ca="1">IF(INDIRECT("W50")="Clássico","14%",IF(INDIRECT("W50")="Premium","19%","-"))</f>
        <v>14%</v>
      </c>
      <c r="Y50" s="7" t="s">
        <v>62</v>
      </c>
    </row>
    <row r="51" spans="1:25" ht="50" customHeight="1" x14ac:dyDescent="0.25">
      <c r="A51" s="5" t="s">
        <v>288</v>
      </c>
      <c r="B51" s="5" t="s">
        <v>289</v>
      </c>
      <c r="C51" s="5" t="s">
        <v>290</v>
      </c>
      <c r="D51" s="5"/>
      <c r="E51" s="6" t="s">
        <v>291</v>
      </c>
      <c r="F51" s="6" t="s">
        <v>292</v>
      </c>
      <c r="G51" s="5" t="s">
        <v>292</v>
      </c>
      <c r="H51" s="7">
        <v>12</v>
      </c>
      <c r="I51" s="7">
        <v>26.49</v>
      </c>
      <c r="J51" s="7" t="s">
        <v>58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59</v>
      </c>
      <c r="V51" s="5" t="s">
        <v>293</v>
      </c>
      <c r="W51" s="7" t="s">
        <v>61</v>
      </c>
      <c r="X51" s="5" t="str">
        <f ca="1">IF(INDIRECT("W51")="Clássico","13%",IF(INDIRECT("W51")="Premium","17%","-"))</f>
        <v>13%</v>
      </c>
      <c r="Y51" s="7" t="s">
        <v>62</v>
      </c>
    </row>
    <row r="52" spans="1:25" ht="50" customHeight="1" x14ac:dyDescent="0.25">
      <c r="A52" s="5" t="s">
        <v>294</v>
      </c>
      <c r="B52" s="5" t="s">
        <v>295</v>
      </c>
      <c r="C52" s="5" t="s">
        <v>296</v>
      </c>
      <c r="D52" s="5"/>
      <c r="E52" s="6" t="s">
        <v>297</v>
      </c>
      <c r="F52" s="6" t="s">
        <v>298</v>
      </c>
      <c r="G52" s="5" t="s">
        <v>298</v>
      </c>
      <c r="H52" s="7">
        <v>4</v>
      </c>
      <c r="I52" s="7">
        <v>35.49</v>
      </c>
      <c r="J52" s="7" t="s">
        <v>58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59</v>
      </c>
      <c r="V52" s="7" t="s">
        <v>60</v>
      </c>
      <c r="W52" s="7" t="s">
        <v>61</v>
      </c>
      <c r="X52" s="5" t="str">
        <f ca="1">IF(INDIRECT("W52")="Clássico","12%",IF(INDIRECT("W52")="Premium","17%","-"))</f>
        <v>12%</v>
      </c>
      <c r="Y52" s="7" t="s">
        <v>62</v>
      </c>
    </row>
    <row r="53" spans="1:25" ht="50" customHeight="1" x14ac:dyDescent="0.25">
      <c r="A53" s="5" t="s">
        <v>299</v>
      </c>
      <c r="B53" s="5" t="s">
        <v>300</v>
      </c>
      <c r="C53" s="5" t="s">
        <v>301</v>
      </c>
      <c r="D53" s="5"/>
      <c r="E53" s="6" t="s">
        <v>302</v>
      </c>
      <c r="F53" s="6" t="s">
        <v>303</v>
      </c>
      <c r="G53" s="5" t="s">
        <v>303</v>
      </c>
      <c r="H53" s="7">
        <v>12</v>
      </c>
      <c r="I53" s="7">
        <v>26.49</v>
      </c>
      <c r="J53" s="7" t="s">
        <v>58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 t="s">
        <v>59</v>
      </c>
      <c r="V53" s="7" t="s">
        <v>60</v>
      </c>
      <c r="W53" s="7" t="s">
        <v>61</v>
      </c>
      <c r="X53" s="5" t="str">
        <f ca="1">IF(INDIRECT("W53")="Clássico","13%",IF(INDIRECT("W53")="Premium","17%","-"))</f>
        <v>13%</v>
      </c>
      <c r="Y53" s="7" t="s">
        <v>62</v>
      </c>
    </row>
    <row r="54" spans="1:25" ht="50" customHeight="1" x14ac:dyDescent="0.25">
      <c r="A54" s="5" t="s">
        <v>304</v>
      </c>
      <c r="B54" s="5" t="s">
        <v>305</v>
      </c>
      <c r="C54" s="5" t="s">
        <v>306</v>
      </c>
      <c r="D54" s="5"/>
      <c r="E54" s="6" t="s">
        <v>307</v>
      </c>
      <c r="F54" s="6" t="s">
        <v>308</v>
      </c>
      <c r="G54" s="5" t="s">
        <v>308</v>
      </c>
      <c r="H54" s="7">
        <v>2</v>
      </c>
      <c r="I54" s="7">
        <v>85.49</v>
      </c>
      <c r="J54" s="7" t="s">
        <v>58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 t="s">
        <v>59</v>
      </c>
      <c r="V54" s="7" t="s">
        <v>129</v>
      </c>
      <c r="W54" s="7" t="s">
        <v>61</v>
      </c>
      <c r="X54" s="5" t="str">
        <f ca="1">IF(INDIRECT("W54")="Clássico","13%",IF(INDIRECT("W54")="Premium","17%","-"))</f>
        <v>13%</v>
      </c>
      <c r="Y54" s="7" t="s">
        <v>62</v>
      </c>
    </row>
    <row r="55" spans="1:25" ht="50" customHeight="1" x14ac:dyDescent="0.25">
      <c r="A55" s="5" t="s">
        <v>309</v>
      </c>
      <c r="B55" s="5" t="s">
        <v>310</v>
      </c>
      <c r="C55" s="5" t="s">
        <v>311</v>
      </c>
      <c r="D55" s="5"/>
      <c r="E55" s="6" t="s">
        <v>312</v>
      </c>
      <c r="F55" s="6" t="s">
        <v>313</v>
      </c>
      <c r="G55" s="5" t="s">
        <v>313</v>
      </c>
      <c r="H55" s="7">
        <v>12</v>
      </c>
      <c r="I55" s="7">
        <v>28.49</v>
      </c>
      <c r="J55" s="7" t="s">
        <v>58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 t="s">
        <v>59</v>
      </c>
      <c r="V55" s="7" t="s">
        <v>60</v>
      </c>
      <c r="W55" s="7" t="s">
        <v>61</v>
      </c>
      <c r="X55" s="5" t="str">
        <f ca="1">IF(INDIRECT("W55")="Clássico","13%",IF(INDIRECT("W55")="Premium","17%","-"))</f>
        <v>13%</v>
      </c>
      <c r="Y55" s="7" t="s">
        <v>62</v>
      </c>
    </row>
    <row r="56" spans="1:25" ht="50" customHeight="1" x14ac:dyDescent="0.25">
      <c r="A56" s="5" t="s">
        <v>314</v>
      </c>
      <c r="B56" s="5" t="s">
        <v>315</v>
      </c>
      <c r="C56" s="5" t="s">
        <v>316</v>
      </c>
      <c r="D56" s="5"/>
      <c r="E56" s="6" t="s">
        <v>317</v>
      </c>
      <c r="F56" s="6" t="s">
        <v>318</v>
      </c>
      <c r="G56" s="5" t="s">
        <v>318</v>
      </c>
      <c r="H56" s="7">
        <v>8</v>
      </c>
      <c r="I56" s="7">
        <v>30.49</v>
      </c>
      <c r="J56" s="7" t="s">
        <v>58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 t="s">
        <v>59</v>
      </c>
      <c r="V56" s="7" t="s">
        <v>60</v>
      </c>
      <c r="W56" s="7" t="s">
        <v>61</v>
      </c>
      <c r="X56" s="5" t="str">
        <f ca="1">IF(INDIRECT("W56")="Clássico","13%",IF(INDIRECT("W56")="Premium","17%","-"))</f>
        <v>13%</v>
      </c>
      <c r="Y56" s="7" t="s">
        <v>62</v>
      </c>
    </row>
    <row r="57" spans="1:25" ht="50" customHeight="1" x14ac:dyDescent="0.25">
      <c r="A57" s="5" t="s">
        <v>319</v>
      </c>
      <c r="B57" s="5" t="s">
        <v>320</v>
      </c>
      <c r="C57" s="5" t="s">
        <v>321</v>
      </c>
      <c r="D57" s="5"/>
      <c r="E57" s="6" t="s">
        <v>322</v>
      </c>
      <c r="F57" s="6" t="s">
        <v>323</v>
      </c>
      <c r="G57" s="5" t="s">
        <v>323</v>
      </c>
      <c r="H57" s="7">
        <v>73</v>
      </c>
      <c r="I57" s="7">
        <v>45.9</v>
      </c>
      <c r="J57" s="7" t="s">
        <v>58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5" t="s">
        <v>59</v>
      </c>
      <c r="V57" s="7" t="s">
        <v>60</v>
      </c>
      <c r="W57" s="7" t="s">
        <v>61</v>
      </c>
      <c r="X57" s="5" t="str">
        <f ca="1">IF(INDIRECT("W57")="Clássico","14%",IF(INDIRECT("W57")="Premium","19%","-"))</f>
        <v>14%</v>
      </c>
      <c r="Y57" s="7" t="s">
        <v>62</v>
      </c>
    </row>
    <row r="58" spans="1:25" ht="50" customHeight="1" x14ac:dyDescent="0.25">
      <c r="A58" s="5" t="s">
        <v>324</v>
      </c>
      <c r="B58" s="5" t="s">
        <v>325</v>
      </c>
      <c r="C58" s="5" t="s">
        <v>326</v>
      </c>
      <c r="D58" s="5"/>
      <c r="E58" s="6" t="s">
        <v>327</v>
      </c>
      <c r="F58" s="6" t="s">
        <v>328</v>
      </c>
      <c r="G58" s="5" t="s">
        <v>328</v>
      </c>
      <c r="H58" s="7">
        <v>8</v>
      </c>
      <c r="I58" s="7">
        <v>33.49</v>
      </c>
      <c r="J58" s="7" t="s">
        <v>58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 t="s">
        <v>59</v>
      </c>
      <c r="V58" s="7" t="s">
        <v>60</v>
      </c>
      <c r="W58" s="7" t="s">
        <v>61</v>
      </c>
      <c r="X58" s="5" t="str">
        <f ca="1">IF(INDIRECT("W58")="Clássico","13%",IF(INDIRECT("W58")="Premium","17%","-"))</f>
        <v>13%</v>
      </c>
      <c r="Y58" s="7" t="s">
        <v>62</v>
      </c>
    </row>
    <row r="59" spans="1:25" ht="50" customHeight="1" x14ac:dyDescent="0.25">
      <c r="A59" s="5" t="s">
        <v>329</v>
      </c>
      <c r="B59" s="5" t="s">
        <v>330</v>
      </c>
      <c r="C59" s="5" t="s">
        <v>331</v>
      </c>
      <c r="D59" s="5"/>
      <c r="E59" s="6" t="s">
        <v>332</v>
      </c>
      <c r="F59" s="6" t="s">
        <v>333</v>
      </c>
      <c r="G59" s="5" t="s">
        <v>333</v>
      </c>
      <c r="H59" s="7">
        <v>4</v>
      </c>
      <c r="I59" s="7">
        <v>33.49</v>
      </c>
      <c r="J59" s="7" t="s">
        <v>58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 t="s">
        <v>59</v>
      </c>
      <c r="V59" s="7" t="s">
        <v>60</v>
      </c>
      <c r="W59" s="7" t="s">
        <v>61</v>
      </c>
      <c r="X59" s="5" t="str">
        <f ca="1">IF(INDIRECT("W59")="Clássico","13%",IF(INDIRECT("W59")="Premium","17%","-"))</f>
        <v>13%</v>
      </c>
      <c r="Y59" s="7" t="s">
        <v>62</v>
      </c>
    </row>
    <row r="60" spans="1:25" ht="50" customHeight="1" x14ac:dyDescent="0.25">
      <c r="A60" s="5" t="s">
        <v>334</v>
      </c>
      <c r="B60" s="5" t="s">
        <v>335</v>
      </c>
      <c r="C60" s="5" t="s">
        <v>336</v>
      </c>
      <c r="D60" s="5"/>
      <c r="E60" s="6" t="s">
        <v>337</v>
      </c>
      <c r="F60" s="6" t="s">
        <v>338</v>
      </c>
      <c r="G60" s="5" t="s">
        <v>338</v>
      </c>
      <c r="H60" s="7">
        <v>47</v>
      </c>
      <c r="I60" s="7">
        <v>128.79</v>
      </c>
      <c r="J60" s="7" t="s">
        <v>58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5" t="s">
        <v>59</v>
      </c>
      <c r="V60" s="7" t="s">
        <v>129</v>
      </c>
      <c r="W60" s="7" t="s">
        <v>84</v>
      </c>
      <c r="X60" s="5" t="str">
        <f ca="1">IF(INDIRECT("W60")="Clássico","14%",IF(INDIRECT("W60")="Premium","19%","-"))</f>
        <v>19%</v>
      </c>
      <c r="Y60" s="7" t="s">
        <v>62</v>
      </c>
    </row>
    <row r="61" spans="1:25" ht="50" customHeight="1" x14ac:dyDescent="0.25">
      <c r="A61" s="5" t="s">
        <v>339</v>
      </c>
      <c r="B61" s="5" t="s">
        <v>340</v>
      </c>
      <c r="C61" s="5" t="s">
        <v>341</v>
      </c>
      <c r="D61" s="5"/>
      <c r="E61" s="6" t="s">
        <v>342</v>
      </c>
      <c r="F61" s="6" t="s">
        <v>343</v>
      </c>
      <c r="G61" s="5" t="s">
        <v>343</v>
      </c>
      <c r="H61" s="7">
        <v>12</v>
      </c>
      <c r="I61" s="7">
        <v>26.49</v>
      </c>
      <c r="J61" s="7" t="s">
        <v>58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 t="s">
        <v>59</v>
      </c>
      <c r="V61" s="7" t="s">
        <v>60</v>
      </c>
      <c r="W61" s="7" t="s">
        <v>61</v>
      </c>
      <c r="X61" s="5" t="str">
        <f ca="1">IF(INDIRECT("W61")="Clássico","13%",IF(INDIRECT("W61")="Premium","17%","-"))</f>
        <v>13%</v>
      </c>
      <c r="Y61" s="7" t="s">
        <v>62</v>
      </c>
    </row>
    <row r="62" spans="1:25" ht="50" customHeight="1" x14ac:dyDescent="0.25">
      <c r="A62" s="5" t="s">
        <v>344</v>
      </c>
      <c r="B62" s="5" t="s">
        <v>345</v>
      </c>
      <c r="C62" s="5" t="s">
        <v>346</v>
      </c>
      <c r="D62" s="5"/>
      <c r="E62" s="6" t="s">
        <v>347</v>
      </c>
      <c r="F62" s="6" t="s">
        <v>348</v>
      </c>
      <c r="G62" s="5" t="s">
        <v>348</v>
      </c>
      <c r="H62" s="7">
        <v>12</v>
      </c>
      <c r="I62" s="7">
        <v>35.49</v>
      </c>
      <c r="J62" s="7" t="s">
        <v>58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 t="s">
        <v>59</v>
      </c>
      <c r="V62" s="7" t="s">
        <v>60</v>
      </c>
      <c r="W62" s="7" t="s">
        <v>61</v>
      </c>
      <c r="X62" s="5" t="str">
        <f ca="1">IF(INDIRECT("W62")="Clássico","13%",IF(INDIRECT("W62")="Premium","17%","-"))</f>
        <v>13%</v>
      </c>
      <c r="Y62" s="7" t="s">
        <v>62</v>
      </c>
    </row>
    <row r="63" spans="1:25" ht="50" customHeight="1" x14ac:dyDescent="0.25">
      <c r="A63" s="5" t="s">
        <v>349</v>
      </c>
      <c r="B63" s="5" t="s">
        <v>350</v>
      </c>
      <c r="C63" s="5" t="s">
        <v>351</v>
      </c>
      <c r="D63" s="5"/>
      <c r="E63" s="6" t="s">
        <v>352</v>
      </c>
      <c r="F63" s="6" t="s">
        <v>353</v>
      </c>
      <c r="G63" s="5" t="s">
        <v>353</v>
      </c>
      <c r="H63" s="7">
        <v>4</v>
      </c>
      <c r="I63" s="7">
        <v>35.49</v>
      </c>
      <c r="J63" s="7" t="s">
        <v>58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 t="s">
        <v>59</v>
      </c>
      <c r="V63" s="7" t="s">
        <v>60</v>
      </c>
      <c r="W63" s="7" t="s">
        <v>61</v>
      </c>
      <c r="X63" s="5" t="str">
        <f ca="1">IF(INDIRECT("W63")="Clássico","13%",IF(INDIRECT("W63")="Premium","17%","-"))</f>
        <v>13%</v>
      </c>
      <c r="Y63" s="7" t="s">
        <v>62</v>
      </c>
    </row>
    <row r="64" spans="1:25" ht="50" customHeight="1" x14ac:dyDescent="0.25">
      <c r="A64" s="5" t="s">
        <v>354</v>
      </c>
      <c r="B64" s="5" t="s">
        <v>355</v>
      </c>
      <c r="C64" s="5" t="s">
        <v>356</v>
      </c>
      <c r="D64" s="5"/>
      <c r="E64" s="6" t="s">
        <v>357</v>
      </c>
      <c r="F64" s="6" t="s">
        <v>358</v>
      </c>
      <c r="G64" s="5" t="s">
        <v>358</v>
      </c>
      <c r="H64" s="7">
        <v>90</v>
      </c>
      <c r="I64" s="7">
        <v>162.49</v>
      </c>
      <c r="J64" s="7" t="s">
        <v>58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 t="s">
        <v>59</v>
      </c>
      <c r="V64" s="7" t="s">
        <v>129</v>
      </c>
      <c r="W64" s="7" t="s">
        <v>84</v>
      </c>
      <c r="X64" s="5" t="str">
        <f ca="1">IF(INDIRECT("W64")="Clássico","12%",IF(INDIRECT("W64")="Premium","15%","-"))</f>
        <v>15%</v>
      </c>
      <c r="Y64" s="7" t="s">
        <v>62</v>
      </c>
    </row>
    <row r="65" spans="1:25" ht="50" customHeight="1" x14ac:dyDescent="0.25">
      <c r="A65" s="5" t="s">
        <v>359</v>
      </c>
      <c r="B65" s="5" t="s">
        <v>360</v>
      </c>
      <c r="C65" s="5" t="s">
        <v>361</v>
      </c>
      <c r="D65" s="5"/>
      <c r="E65" s="6" t="s">
        <v>362</v>
      </c>
      <c r="F65" s="6" t="s">
        <v>363</v>
      </c>
      <c r="G65" s="5" t="s">
        <v>363</v>
      </c>
      <c r="H65" s="7">
        <v>12</v>
      </c>
      <c r="I65" s="7">
        <v>30.49</v>
      </c>
      <c r="J65" s="7" t="s">
        <v>58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 t="s">
        <v>59</v>
      </c>
      <c r="V65" s="7" t="s">
        <v>60</v>
      </c>
      <c r="W65" s="7" t="s">
        <v>61</v>
      </c>
      <c r="X65" s="5" t="str">
        <f ca="1">IF(INDIRECT("W65")="Clássico","13%",IF(INDIRECT("W65")="Premium","17%","-"))</f>
        <v>13%</v>
      </c>
      <c r="Y65" s="7" t="s">
        <v>62</v>
      </c>
    </row>
    <row r="66" spans="1:25" ht="50" customHeight="1" x14ac:dyDescent="0.25">
      <c r="A66" s="5" t="s">
        <v>364</v>
      </c>
      <c r="B66" s="5" t="s">
        <v>365</v>
      </c>
      <c r="C66" s="5" t="s">
        <v>366</v>
      </c>
      <c r="D66" s="5"/>
      <c r="E66" s="6" t="s">
        <v>367</v>
      </c>
      <c r="F66" s="6" t="s">
        <v>368</v>
      </c>
      <c r="G66" s="5" t="s">
        <v>368</v>
      </c>
      <c r="H66" s="7">
        <v>39</v>
      </c>
      <c r="I66" s="7">
        <v>20.49</v>
      </c>
      <c r="J66" s="7" t="s">
        <v>58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 t="s">
        <v>59</v>
      </c>
      <c r="V66" s="7" t="s">
        <v>60</v>
      </c>
      <c r="W66" s="7" t="s">
        <v>61</v>
      </c>
      <c r="X66" s="5" t="str">
        <f ca="1">IF(INDIRECT("W66")="Clássico","13%",IF(INDIRECT("W66")="Premium","17%","-"))</f>
        <v>13%</v>
      </c>
      <c r="Y66" s="7" t="s">
        <v>62</v>
      </c>
    </row>
    <row r="67" spans="1:25" ht="50" customHeight="1" x14ac:dyDescent="0.25">
      <c r="A67" s="5" t="s">
        <v>369</v>
      </c>
      <c r="B67" s="5" t="s">
        <v>370</v>
      </c>
      <c r="C67" s="5" t="s">
        <v>371</v>
      </c>
      <c r="D67" s="5"/>
      <c r="E67" s="6" t="s">
        <v>372</v>
      </c>
      <c r="F67" s="6" t="s">
        <v>373</v>
      </c>
      <c r="G67" s="5" t="s">
        <v>373</v>
      </c>
      <c r="H67" s="7">
        <v>6</v>
      </c>
      <c r="I67" s="7">
        <v>73.8</v>
      </c>
      <c r="J67" s="7" t="s">
        <v>58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5" t="s">
        <v>59</v>
      </c>
      <c r="V67" s="7" t="s">
        <v>60</v>
      </c>
      <c r="W67" s="7" t="s">
        <v>84</v>
      </c>
      <c r="X67" s="5" t="str">
        <f ca="1">IF(INDIRECT("W67")="Clássico","14%",IF(INDIRECT("W67")="Premium","19%","-"))</f>
        <v>19%</v>
      </c>
      <c r="Y67" s="7" t="s">
        <v>62</v>
      </c>
    </row>
    <row r="68" spans="1:25" ht="50" customHeight="1" x14ac:dyDescent="0.25">
      <c r="A68" s="5" t="s">
        <v>374</v>
      </c>
      <c r="B68" s="5" t="s">
        <v>375</v>
      </c>
      <c r="C68" s="5" t="s">
        <v>376</v>
      </c>
      <c r="D68" s="5"/>
      <c r="E68" s="6" t="s">
        <v>377</v>
      </c>
      <c r="F68" s="6" t="s">
        <v>378</v>
      </c>
      <c r="G68" s="5" t="s">
        <v>378</v>
      </c>
      <c r="H68" s="7">
        <v>36</v>
      </c>
      <c r="I68" s="7">
        <v>26.49</v>
      </c>
      <c r="J68" s="7" t="s">
        <v>58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 t="s">
        <v>59</v>
      </c>
      <c r="V68" s="7" t="s">
        <v>60</v>
      </c>
      <c r="W68" s="7" t="s">
        <v>61</v>
      </c>
      <c r="X68" s="5" t="str">
        <f ca="1">IF(INDIRECT("W68")="Clássico","13%",IF(INDIRECT("W68")="Premium","17%","-"))</f>
        <v>13%</v>
      </c>
      <c r="Y68" s="7" t="s">
        <v>62</v>
      </c>
    </row>
    <row r="69" spans="1:25" ht="50" customHeight="1" x14ac:dyDescent="0.25">
      <c r="A69" s="5" t="s">
        <v>379</v>
      </c>
      <c r="B69" s="5" t="s">
        <v>380</v>
      </c>
      <c r="C69" s="5" t="s">
        <v>381</v>
      </c>
      <c r="D69" s="5"/>
      <c r="E69" s="6" t="s">
        <v>382</v>
      </c>
      <c r="F69" s="6" t="s">
        <v>383</v>
      </c>
      <c r="G69" s="5" t="s">
        <v>383</v>
      </c>
      <c r="H69" s="7">
        <v>27</v>
      </c>
      <c r="I69" s="7">
        <v>26.49</v>
      </c>
      <c r="J69" s="7" t="s">
        <v>58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 t="s">
        <v>59</v>
      </c>
      <c r="V69" s="7" t="s">
        <v>60</v>
      </c>
      <c r="W69" s="7" t="s">
        <v>61</v>
      </c>
      <c r="X69" s="5" t="str">
        <f ca="1">IF(INDIRECT("W69")="Clássico","13%",IF(INDIRECT("W69")="Premium","17%","-"))</f>
        <v>13%</v>
      </c>
      <c r="Y69" s="7" t="s">
        <v>62</v>
      </c>
    </row>
    <row r="70" spans="1:25" ht="50" customHeight="1" x14ac:dyDescent="0.25">
      <c r="A70" s="5" t="s">
        <v>384</v>
      </c>
      <c r="B70" s="5" t="s">
        <v>385</v>
      </c>
      <c r="C70" s="5" t="s">
        <v>386</v>
      </c>
      <c r="D70" s="5"/>
      <c r="E70" s="6" t="s">
        <v>387</v>
      </c>
      <c r="F70" s="6" t="s">
        <v>388</v>
      </c>
      <c r="G70" s="5" t="s">
        <v>388</v>
      </c>
      <c r="H70" s="7">
        <v>36</v>
      </c>
      <c r="I70" s="7">
        <v>26.49</v>
      </c>
      <c r="J70" s="7" t="s">
        <v>58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 t="s">
        <v>59</v>
      </c>
      <c r="V70" s="7" t="s">
        <v>60</v>
      </c>
      <c r="W70" s="7" t="s">
        <v>61</v>
      </c>
      <c r="X70" s="5" t="str">
        <f ca="1">IF(INDIRECT("W70")="Clássico","13%",IF(INDIRECT("W70")="Premium","17%","-"))</f>
        <v>13%</v>
      </c>
      <c r="Y70" s="7" t="s">
        <v>62</v>
      </c>
    </row>
    <row r="71" spans="1:25" ht="50" customHeight="1" x14ac:dyDescent="0.25">
      <c r="A71" s="5" t="s">
        <v>389</v>
      </c>
      <c r="B71" s="5" t="s">
        <v>390</v>
      </c>
      <c r="C71" s="5" t="s">
        <v>391</v>
      </c>
      <c r="D71" s="5"/>
      <c r="E71" s="6" t="s">
        <v>392</v>
      </c>
      <c r="F71" s="6" t="s">
        <v>393</v>
      </c>
      <c r="G71" s="5" t="s">
        <v>393</v>
      </c>
      <c r="H71" s="7">
        <v>12</v>
      </c>
      <c r="I71" s="7">
        <v>30.49</v>
      </c>
      <c r="J71" s="7" t="s">
        <v>58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 t="s">
        <v>59</v>
      </c>
      <c r="V71" s="7" t="s">
        <v>101</v>
      </c>
      <c r="W71" s="7" t="s">
        <v>61</v>
      </c>
      <c r="X71" s="5" t="str">
        <f ca="1">IF(INDIRECT("W71")="Clássico","13%",IF(INDIRECT("W71")="Premium","17%","-"))</f>
        <v>13%</v>
      </c>
      <c r="Y71" s="7" t="s">
        <v>62</v>
      </c>
    </row>
    <row r="72" spans="1:25" ht="50" customHeight="1" x14ac:dyDescent="0.25">
      <c r="A72" s="5" t="s">
        <v>394</v>
      </c>
      <c r="B72" s="5" t="s">
        <v>395</v>
      </c>
      <c r="C72" s="5" t="s">
        <v>396</v>
      </c>
      <c r="D72" s="5"/>
      <c r="E72" s="6" t="s">
        <v>397</v>
      </c>
      <c r="F72" s="6" t="s">
        <v>398</v>
      </c>
      <c r="G72" s="5" t="s">
        <v>398</v>
      </c>
      <c r="H72" s="7">
        <v>130</v>
      </c>
      <c r="I72" s="7">
        <v>26.49</v>
      </c>
      <c r="J72" s="7" t="s">
        <v>58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 t="s">
        <v>59</v>
      </c>
      <c r="V72" s="7" t="s">
        <v>101</v>
      </c>
      <c r="W72" s="7" t="s">
        <v>61</v>
      </c>
      <c r="X72" s="5" t="str">
        <f ca="1">IF(INDIRECT("W72")="Clássico","13%",IF(INDIRECT("W72")="Premium","17%","-"))</f>
        <v>13%</v>
      </c>
      <c r="Y72" s="7" t="s">
        <v>62</v>
      </c>
    </row>
    <row r="73" spans="1:25" ht="50" customHeight="1" x14ac:dyDescent="0.25">
      <c r="A73" s="5" t="s">
        <v>399</v>
      </c>
      <c r="B73" s="5" t="s">
        <v>400</v>
      </c>
      <c r="C73" s="5" t="s">
        <v>401</v>
      </c>
      <c r="D73" s="5"/>
      <c r="E73" s="6" t="s">
        <v>402</v>
      </c>
      <c r="F73" s="6" t="s">
        <v>403</v>
      </c>
      <c r="G73" s="5" t="s">
        <v>145</v>
      </c>
      <c r="H73" s="7">
        <v>16</v>
      </c>
      <c r="I73" s="7">
        <v>35.49</v>
      </c>
      <c r="J73" s="7" t="s">
        <v>58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 t="s">
        <v>59</v>
      </c>
      <c r="V73" s="7" t="s">
        <v>60</v>
      </c>
      <c r="W73" s="7" t="s">
        <v>61</v>
      </c>
      <c r="X73" s="5" t="str">
        <f ca="1">IF(INDIRECT("W73")="Clássico","13%",IF(INDIRECT("W73")="Premium","17%","-"))</f>
        <v>13%</v>
      </c>
      <c r="Y73" s="7" t="s">
        <v>62</v>
      </c>
    </row>
    <row r="74" spans="1:25" ht="50" customHeight="1" x14ac:dyDescent="0.25">
      <c r="A74" s="5" t="s">
        <v>404</v>
      </c>
      <c r="B74" s="5" t="s">
        <v>405</v>
      </c>
      <c r="C74" s="5" t="s">
        <v>406</v>
      </c>
      <c r="D74" s="5"/>
      <c r="E74" s="6" t="s">
        <v>407</v>
      </c>
      <c r="F74" s="6" t="s">
        <v>408</v>
      </c>
      <c r="G74" s="5" t="s">
        <v>408</v>
      </c>
      <c r="H74" s="7">
        <v>10</v>
      </c>
      <c r="I74" s="7">
        <v>22.49</v>
      </c>
      <c r="J74" s="7" t="s">
        <v>58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 t="s">
        <v>59</v>
      </c>
      <c r="V74" s="7" t="s">
        <v>60</v>
      </c>
      <c r="W74" s="7" t="s">
        <v>61</v>
      </c>
      <c r="X74" s="5" t="str">
        <f ca="1">IF(INDIRECT("W74")="Clássico","13%",IF(INDIRECT("W74")="Premium","17%","-"))</f>
        <v>13%</v>
      </c>
      <c r="Y74" s="7" t="s">
        <v>62</v>
      </c>
    </row>
    <row r="75" spans="1:25" ht="50" customHeight="1" x14ac:dyDescent="0.25">
      <c r="A75" s="5" t="s">
        <v>409</v>
      </c>
      <c r="B75" s="5" t="s">
        <v>410</v>
      </c>
      <c r="C75" s="5" t="s">
        <v>411</v>
      </c>
      <c r="D75" s="5"/>
      <c r="E75" s="6" t="s">
        <v>412</v>
      </c>
      <c r="F75" s="6" t="s">
        <v>413</v>
      </c>
      <c r="G75" s="5" t="s">
        <v>413</v>
      </c>
      <c r="H75" s="7">
        <v>4</v>
      </c>
      <c r="I75" s="7">
        <v>45.49</v>
      </c>
      <c r="J75" s="7" t="s">
        <v>58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 t="s">
        <v>59</v>
      </c>
      <c r="V75" s="7" t="s">
        <v>60</v>
      </c>
      <c r="W75" s="7" t="s">
        <v>61</v>
      </c>
      <c r="X75" s="5" t="str">
        <f ca="1">IF(INDIRECT("W75")="Clássico","13%",IF(INDIRECT("W75")="Premium","17%","-"))</f>
        <v>13%</v>
      </c>
      <c r="Y75" s="7" t="s">
        <v>62</v>
      </c>
    </row>
    <row r="76" spans="1:25" ht="50" customHeight="1" x14ac:dyDescent="0.25">
      <c r="A76" s="5" t="s">
        <v>414</v>
      </c>
      <c r="B76" s="5" t="s">
        <v>415</v>
      </c>
      <c r="C76" s="5" t="s">
        <v>416</v>
      </c>
      <c r="D76" s="5"/>
      <c r="E76" s="6" t="s">
        <v>417</v>
      </c>
      <c r="F76" s="6" t="s">
        <v>418</v>
      </c>
      <c r="G76" s="5" t="s">
        <v>418</v>
      </c>
      <c r="H76" s="7">
        <v>119</v>
      </c>
      <c r="I76" s="7">
        <v>22.49</v>
      </c>
      <c r="J76" s="7" t="s">
        <v>58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 t="s">
        <v>59</v>
      </c>
      <c r="V76" s="7" t="s">
        <v>101</v>
      </c>
      <c r="W76" s="7" t="s">
        <v>61</v>
      </c>
      <c r="X76" s="5" t="str">
        <f ca="1">IF(INDIRECT("W76")="Clássico","13%",IF(INDIRECT("W76")="Premium","17%","-"))</f>
        <v>13%</v>
      </c>
      <c r="Y76" s="7" t="s">
        <v>62</v>
      </c>
    </row>
    <row r="77" spans="1:25" ht="50" customHeight="1" x14ac:dyDescent="0.25">
      <c r="A77" s="5" t="s">
        <v>419</v>
      </c>
      <c r="B77" s="5" t="s">
        <v>420</v>
      </c>
      <c r="C77" s="5" t="s">
        <v>421</v>
      </c>
      <c r="D77" s="5"/>
      <c r="E77" s="6" t="s">
        <v>422</v>
      </c>
      <c r="F77" s="6" t="s">
        <v>423</v>
      </c>
      <c r="G77" s="5" t="s">
        <v>423</v>
      </c>
      <c r="H77" s="7">
        <v>12</v>
      </c>
      <c r="I77" s="7">
        <v>30.49</v>
      </c>
      <c r="J77" s="7" t="s">
        <v>58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 t="s">
        <v>59</v>
      </c>
      <c r="V77" s="7" t="s">
        <v>101</v>
      </c>
      <c r="W77" s="7" t="s">
        <v>61</v>
      </c>
      <c r="X77" s="5" t="str">
        <f ca="1">IF(INDIRECT("W77")="Clássico","13%",IF(INDIRECT("W77")="Premium","17%","-"))</f>
        <v>13%</v>
      </c>
      <c r="Y77" s="7" t="s">
        <v>62</v>
      </c>
    </row>
    <row r="78" spans="1:25" ht="50" customHeight="1" x14ac:dyDescent="0.25">
      <c r="A78" s="5" t="s">
        <v>424</v>
      </c>
      <c r="B78" s="5" t="s">
        <v>425</v>
      </c>
      <c r="C78" s="5" t="s">
        <v>426</v>
      </c>
      <c r="D78" s="5"/>
      <c r="E78" s="6" t="s">
        <v>427</v>
      </c>
      <c r="F78" s="6" t="s">
        <v>428</v>
      </c>
      <c r="G78" s="5" t="s">
        <v>428</v>
      </c>
      <c r="H78" s="7">
        <v>10</v>
      </c>
      <c r="I78" s="7">
        <v>25.9</v>
      </c>
      <c r="J78" s="7" t="s">
        <v>58</v>
      </c>
      <c r="K78" s="7">
        <v>22.99</v>
      </c>
      <c r="L78" s="7">
        <v>3</v>
      </c>
      <c r="M78" s="7"/>
      <c r="N78" s="7"/>
      <c r="O78" s="7"/>
      <c r="P78" s="7"/>
      <c r="Q78" s="7"/>
      <c r="R78" s="7"/>
      <c r="S78" s="7"/>
      <c r="T78" s="7"/>
      <c r="U78" s="5" t="s">
        <v>59</v>
      </c>
      <c r="V78" s="7" t="s">
        <v>60</v>
      </c>
      <c r="W78" s="7" t="s">
        <v>61</v>
      </c>
      <c r="X78" s="5" t="str">
        <f ca="1">IF(INDIRECT("W78")="Clássico","12%",IF(INDIRECT("W78")="Premium","17%","-"))</f>
        <v>12%</v>
      </c>
      <c r="Y78" s="7" t="s">
        <v>62</v>
      </c>
    </row>
    <row r="79" spans="1:25" ht="50" customHeight="1" x14ac:dyDescent="0.25">
      <c r="A79" s="5" t="s">
        <v>429</v>
      </c>
      <c r="B79" s="5" t="s">
        <v>430</v>
      </c>
      <c r="C79" s="5" t="s">
        <v>431</v>
      </c>
      <c r="D79" s="5"/>
      <c r="E79" s="6" t="s">
        <v>432</v>
      </c>
      <c r="F79" s="6" t="s">
        <v>433</v>
      </c>
      <c r="G79" s="5" t="s">
        <v>433</v>
      </c>
      <c r="H79" s="7">
        <v>12</v>
      </c>
      <c r="I79" s="7">
        <v>26.49</v>
      </c>
      <c r="J79" s="7" t="s">
        <v>58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 t="s">
        <v>59</v>
      </c>
      <c r="V79" s="7" t="s">
        <v>101</v>
      </c>
      <c r="W79" s="7" t="s">
        <v>61</v>
      </c>
      <c r="X79" s="5" t="str">
        <f ca="1">IF(INDIRECT("W79")="Clássico","13%",IF(INDIRECT("W79")="Premium","17%","-"))</f>
        <v>13%</v>
      </c>
      <c r="Y79" s="7" t="s">
        <v>62</v>
      </c>
    </row>
    <row r="80" spans="1:25" ht="50" customHeight="1" x14ac:dyDescent="0.25">
      <c r="A80" s="5" t="s">
        <v>434</v>
      </c>
      <c r="B80" s="5" t="s">
        <v>435</v>
      </c>
      <c r="C80" s="5" t="s">
        <v>436</v>
      </c>
      <c r="D80" s="5"/>
      <c r="E80" s="6" t="s">
        <v>437</v>
      </c>
      <c r="F80" s="6" t="s">
        <v>438</v>
      </c>
      <c r="G80" s="5" t="s">
        <v>438</v>
      </c>
      <c r="H80" s="7">
        <v>11</v>
      </c>
      <c r="I80" s="7">
        <v>20.49</v>
      </c>
      <c r="J80" s="7" t="s">
        <v>58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 t="s">
        <v>59</v>
      </c>
      <c r="V80" s="7" t="s">
        <v>60</v>
      </c>
      <c r="W80" s="7" t="s">
        <v>61</v>
      </c>
      <c r="X80" s="5" t="str">
        <f ca="1">IF(INDIRECT("W80")="Clássico","13%",IF(INDIRECT("W80")="Premium","17%","-"))</f>
        <v>13%</v>
      </c>
      <c r="Y80" s="7" t="s">
        <v>62</v>
      </c>
    </row>
    <row r="81" spans="1:25" ht="50" customHeight="1" x14ac:dyDescent="0.25">
      <c r="A81" s="5" t="s">
        <v>439</v>
      </c>
      <c r="B81" s="5" t="s">
        <v>440</v>
      </c>
      <c r="C81" s="5" t="s">
        <v>441</v>
      </c>
      <c r="D81" s="5"/>
      <c r="E81" s="6" t="s">
        <v>442</v>
      </c>
      <c r="F81" s="6" t="s">
        <v>443</v>
      </c>
      <c r="G81" s="5" t="s">
        <v>443</v>
      </c>
      <c r="H81" s="7">
        <v>6</v>
      </c>
      <c r="I81" s="7">
        <v>42.9</v>
      </c>
      <c r="J81" s="7" t="s">
        <v>58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5" t="s">
        <v>59</v>
      </c>
      <c r="V81" s="7" t="s">
        <v>60</v>
      </c>
      <c r="W81" s="7" t="s">
        <v>61</v>
      </c>
      <c r="X81" s="5" t="str">
        <f ca="1">IF(INDIRECT("W81")="Clássico","14%",IF(INDIRECT("W81")="Premium","19%","-"))</f>
        <v>14%</v>
      </c>
      <c r="Y81" s="7" t="s">
        <v>62</v>
      </c>
    </row>
    <row r="82" spans="1:25" ht="50" customHeight="1" x14ac:dyDescent="0.25">
      <c r="A82" s="5" t="s">
        <v>444</v>
      </c>
      <c r="B82" s="5" t="s">
        <v>445</v>
      </c>
      <c r="C82" s="5" t="s">
        <v>446</v>
      </c>
      <c r="D82" s="5"/>
      <c r="E82" s="6" t="s">
        <v>447</v>
      </c>
      <c r="F82" s="6" t="s">
        <v>448</v>
      </c>
      <c r="G82" s="5" t="s">
        <v>448</v>
      </c>
      <c r="H82" s="7">
        <v>6</v>
      </c>
      <c r="I82" s="7">
        <v>37.49</v>
      </c>
      <c r="J82" s="7" t="s">
        <v>58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 t="s">
        <v>59</v>
      </c>
      <c r="V82" s="7" t="s">
        <v>60</v>
      </c>
      <c r="W82" s="7" t="s">
        <v>61</v>
      </c>
      <c r="X82" s="5" t="str">
        <f ca="1">IF(INDIRECT("W82")="Clássico","13%",IF(INDIRECT("W82")="Premium","17%","-"))</f>
        <v>13%</v>
      </c>
      <c r="Y82" s="7" t="s">
        <v>62</v>
      </c>
    </row>
    <row r="83" spans="1:25" ht="50" customHeight="1" x14ac:dyDescent="0.25">
      <c r="A83" s="5" t="s">
        <v>449</v>
      </c>
      <c r="B83" s="5" t="s">
        <v>450</v>
      </c>
      <c r="C83" s="5" t="s">
        <v>451</v>
      </c>
      <c r="D83" s="5"/>
      <c r="E83" s="6" t="s">
        <v>452</v>
      </c>
      <c r="F83" s="6" t="s">
        <v>453</v>
      </c>
      <c r="G83" s="5" t="s">
        <v>453</v>
      </c>
      <c r="H83" s="7">
        <v>6</v>
      </c>
      <c r="I83" s="7">
        <v>93.49</v>
      </c>
      <c r="J83" s="7" t="s">
        <v>58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 t="s">
        <v>59</v>
      </c>
      <c r="V83" s="7" t="s">
        <v>129</v>
      </c>
      <c r="W83" s="7" t="s">
        <v>61</v>
      </c>
      <c r="X83" s="5" t="str">
        <f ca="1">IF(INDIRECT("W83")="Clássico","14%",IF(INDIRECT("W83")="Premium","19%","-"))</f>
        <v>14%</v>
      </c>
      <c r="Y83" s="7" t="s">
        <v>62</v>
      </c>
    </row>
    <row r="84" spans="1:25" ht="50" customHeight="1" x14ac:dyDescent="0.25">
      <c r="A84" s="5" t="s">
        <v>454</v>
      </c>
      <c r="B84" s="5" t="s">
        <v>455</v>
      </c>
      <c r="C84" s="5" t="s">
        <v>456</v>
      </c>
      <c r="D84" s="5"/>
      <c r="E84" s="6" t="s">
        <v>457</v>
      </c>
      <c r="F84" s="6" t="s">
        <v>458</v>
      </c>
      <c r="G84" s="5" t="s">
        <v>458</v>
      </c>
      <c r="H84" s="7">
        <v>20</v>
      </c>
      <c r="I84" s="7">
        <v>20.49</v>
      </c>
      <c r="J84" s="7" t="s">
        <v>58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 t="s">
        <v>59</v>
      </c>
      <c r="V84" s="7" t="s">
        <v>60</v>
      </c>
      <c r="W84" s="7" t="s">
        <v>61</v>
      </c>
      <c r="X84" s="5" t="str">
        <f ca="1">IF(INDIRECT("W84")="Clássico","13%",IF(INDIRECT("W84")="Premium","17%","-"))</f>
        <v>13%</v>
      </c>
      <c r="Y84" s="7" t="s">
        <v>62</v>
      </c>
    </row>
    <row r="85" spans="1:25" ht="50" customHeight="1" x14ac:dyDescent="0.25">
      <c r="A85" s="5" t="s">
        <v>459</v>
      </c>
      <c r="B85" s="5" t="s">
        <v>460</v>
      </c>
      <c r="C85" s="5" t="s">
        <v>461</v>
      </c>
      <c r="D85" s="5"/>
      <c r="E85" s="6" t="s">
        <v>462</v>
      </c>
      <c r="F85" s="6" t="s">
        <v>463</v>
      </c>
      <c r="G85" s="5" t="s">
        <v>463</v>
      </c>
      <c r="H85" s="7">
        <v>12</v>
      </c>
      <c r="I85" s="7">
        <v>30.49</v>
      </c>
      <c r="J85" s="7" t="s">
        <v>58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 t="s">
        <v>59</v>
      </c>
      <c r="V85" s="7" t="s">
        <v>101</v>
      </c>
      <c r="W85" s="7" t="s">
        <v>61</v>
      </c>
      <c r="X85" s="5" t="str">
        <f ca="1">IF(INDIRECT("W85")="Clássico","13%",IF(INDIRECT("W85")="Premium","17%","-"))</f>
        <v>13%</v>
      </c>
      <c r="Y85" s="7" t="s">
        <v>62</v>
      </c>
    </row>
    <row r="86" spans="1:25" ht="50" customHeight="1" x14ac:dyDescent="0.25">
      <c r="A86" s="5" t="s">
        <v>464</v>
      </c>
      <c r="B86" s="5" t="s">
        <v>465</v>
      </c>
      <c r="C86" s="5" t="s">
        <v>466</v>
      </c>
      <c r="D86" s="5"/>
      <c r="E86" s="6" t="s">
        <v>467</v>
      </c>
      <c r="F86" s="6" t="s">
        <v>468</v>
      </c>
      <c r="G86" s="5" t="s">
        <v>468</v>
      </c>
      <c r="H86" s="7">
        <v>12</v>
      </c>
      <c r="I86" s="7">
        <v>30.49</v>
      </c>
      <c r="J86" s="7" t="s">
        <v>58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 t="s">
        <v>59</v>
      </c>
      <c r="V86" s="7" t="s">
        <v>101</v>
      </c>
      <c r="W86" s="7" t="s">
        <v>61</v>
      </c>
      <c r="X86" s="5" t="str">
        <f ca="1">IF(INDIRECT("W86")="Clássico","13%",IF(INDIRECT("W86")="Premium","17%","-"))</f>
        <v>13%</v>
      </c>
      <c r="Y86" s="7" t="s">
        <v>62</v>
      </c>
    </row>
    <row r="87" spans="1:25" ht="50" customHeight="1" x14ac:dyDescent="0.25">
      <c r="A87" s="5" t="s">
        <v>469</v>
      </c>
      <c r="B87" s="5" t="s">
        <v>470</v>
      </c>
      <c r="C87" s="5" t="s">
        <v>471</v>
      </c>
      <c r="D87" s="5"/>
      <c r="E87" s="6" t="s">
        <v>472</v>
      </c>
      <c r="F87" s="6" t="s">
        <v>473</v>
      </c>
      <c r="G87" s="5" t="s">
        <v>473</v>
      </c>
      <c r="H87" s="7">
        <v>23</v>
      </c>
      <c r="I87" s="7">
        <v>22.49</v>
      </c>
      <c r="J87" s="7" t="s">
        <v>58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 t="s">
        <v>59</v>
      </c>
      <c r="V87" s="7" t="s">
        <v>60</v>
      </c>
      <c r="W87" s="7" t="s">
        <v>61</v>
      </c>
      <c r="X87" s="5" t="str">
        <f ca="1">IF(INDIRECT("W87")="Clássico","13%",IF(INDIRECT("W87")="Premium","17%","-"))</f>
        <v>13%</v>
      </c>
      <c r="Y87" s="7" t="s">
        <v>62</v>
      </c>
    </row>
    <row r="88" spans="1:25" ht="50" customHeight="1" x14ac:dyDescent="0.25">
      <c r="A88" s="5" t="s">
        <v>474</v>
      </c>
      <c r="B88" s="5" t="s">
        <v>475</v>
      </c>
      <c r="C88" s="5" t="s">
        <v>476</v>
      </c>
      <c r="D88" s="5"/>
      <c r="E88" s="6" t="s">
        <v>477</v>
      </c>
      <c r="F88" s="6" t="s">
        <v>478</v>
      </c>
      <c r="G88" s="5" t="s">
        <v>478</v>
      </c>
      <c r="H88" s="7">
        <v>144</v>
      </c>
      <c r="I88" s="7">
        <v>22.49</v>
      </c>
      <c r="J88" s="7" t="s">
        <v>58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 t="s">
        <v>59</v>
      </c>
      <c r="V88" s="7" t="s">
        <v>60</v>
      </c>
      <c r="W88" s="7" t="s">
        <v>61</v>
      </c>
      <c r="X88" s="5" t="str">
        <f ca="1">IF(INDIRECT("W88")="Clássico","13%",IF(INDIRECT("W88")="Premium","17%","-"))</f>
        <v>13%</v>
      </c>
      <c r="Y88" s="7" t="s">
        <v>62</v>
      </c>
    </row>
    <row r="89" spans="1:25" ht="50" customHeight="1" x14ac:dyDescent="0.25">
      <c r="A89" s="5" t="s">
        <v>479</v>
      </c>
      <c r="B89" s="5" t="s">
        <v>480</v>
      </c>
      <c r="C89" s="5" t="s">
        <v>481</v>
      </c>
      <c r="D89" s="5"/>
      <c r="E89" s="6" t="s">
        <v>482</v>
      </c>
      <c r="F89" s="6" t="s">
        <v>483</v>
      </c>
      <c r="G89" s="5" t="s">
        <v>483</v>
      </c>
      <c r="H89" s="7">
        <v>36</v>
      </c>
      <c r="I89" s="7">
        <v>26.49</v>
      </c>
      <c r="J89" s="7" t="s">
        <v>58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 t="s">
        <v>59</v>
      </c>
      <c r="V89" s="7" t="s">
        <v>101</v>
      </c>
      <c r="W89" s="7" t="s">
        <v>61</v>
      </c>
      <c r="X89" s="5" t="str">
        <f ca="1">IF(INDIRECT("W89")="Clássico","13%",IF(INDIRECT("W89")="Premium","17%","-"))</f>
        <v>13%</v>
      </c>
      <c r="Y89" s="7" t="s">
        <v>62</v>
      </c>
    </row>
    <row r="90" spans="1:25" ht="50" customHeight="1" x14ac:dyDescent="0.25">
      <c r="A90" s="5" t="s">
        <v>484</v>
      </c>
      <c r="B90" s="5" t="s">
        <v>485</v>
      </c>
      <c r="C90" s="5" t="s">
        <v>486</v>
      </c>
      <c r="D90" s="5"/>
      <c r="E90" s="6" t="s">
        <v>487</v>
      </c>
      <c r="F90" s="6" t="s">
        <v>488</v>
      </c>
      <c r="G90" s="5" t="s">
        <v>488</v>
      </c>
      <c r="H90" s="7">
        <v>12</v>
      </c>
      <c r="I90" s="7">
        <v>30.49</v>
      </c>
      <c r="J90" s="7" t="s">
        <v>58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 t="s">
        <v>59</v>
      </c>
      <c r="V90" s="7" t="s">
        <v>489</v>
      </c>
      <c r="W90" s="7" t="s">
        <v>84</v>
      </c>
      <c r="X90" s="5" t="str">
        <f ca="1">IF(INDIRECT("W90")="Clássico","13%",IF(INDIRECT("W90")="Premium","17%","-"))</f>
        <v>17%</v>
      </c>
      <c r="Y90" s="7" t="s">
        <v>62</v>
      </c>
    </row>
    <row r="91" spans="1:25" ht="50" customHeight="1" x14ac:dyDescent="0.25">
      <c r="A91" s="5" t="s">
        <v>490</v>
      </c>
      <c r="B91" s="5" t="s">
        <v>491</v>
      </c>
      <c r="C91" s="5" t="s">
        <v>492</v>
      </c>
      <c r="D91" s="5"/>
      <c r="E91" s="6" t="s">
        <v>493</v>
      </c>
      <c r="F91" s="6" t="s">
        <v>494</v>
      </c>
      <c r="G91" s="5" t="s">
        <v>494</v>
      </c>
      <c r="H91" s="7">
        <v>12</v>
      </c>
      <c r="I91" s="7">
        <v>43.49</v>
      </c>
      <c r="J91" s="7" t="s">
        <v>58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 t="s">
        <v>59</v>
      </c>
      <c r="V91" s="7" t="s">
        <v>60</v>
      </c>
      <c r="W91" s="7" t="s">
        <v>61</v>
      </c>
      <c r="X91" s="5" t="str">
        <f ca="1">IF(INDIRECT("W91")="Clássico","13%",IF(INDIRECT("W91")="Premium","17%","-"))</f>
        <v>13%</v>
      </c>
      <c r="Y91" s="7" t="s">
        <v>62</v>
      </c>
    </row>
    <row r="92" spans="1:25" ht="50" customHeight="1" x14ac:dyDescent="0.25">
      <c r="A92" s="5" t="s">
        <v>495</v>
      </c>
      <c r="B92" s="5" t="s">
        <v>496</v>
      </c>
      <c r="C92" s="5" t="s">
        <v>497</v>
      </c>
      <c r="D92" s="5"/>
      <c r="E92" s="6" t="s">
        <v>498</v>
      </c>
      <c r="F92" s="6" t="s">
        <v>499</v>
      </c>
      <c r="G92" s="5" t="s">
        <v>499</v>
      </c>
      <c r="H92" s="7">
        <v>24</v>
      </c>
      <c r="I92" s="7">
        <v>21.09</v>
      </c>
      <c r="J92" s="7" t="s">
        <v>58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 t="s">
        <v>59</v>
      </c>
      <c r="V92" s="7" t="s">
        <v>60</v>
      </c>
      <c r="W92" s="7" t="s">
        <v>61</v>
      </c>
      <c r="X92" s="5" t="str">
        <f ca="1">IF(INDIRECT("W92")="Clássico","13%",IF(INDIRECT("W92")="Premium","17%","-"))</f>
        <v>13%</v>
      </c>
      <c r="Y92" s="7" t="s">
        <v>62</v>
      </c>
    </row>
    <row r="93" spans="1:25" ht="50" customHeight="1" x14ac:dyDescent="0.25">
      <c r="A93" s="5" t="s">
        <v>500</v>
      </c>
      <c r="B93" s="5" t="s">
        <v>501</v>
      </c>
      <c r="C93" s="5" t="s">
        <v>502</v>
      </c>
      <c r="D93" s="5"/>
      <c r="E93" s="6" t="s">
        <v>503</v>
      </c>
      <c r="F93" s="6" t="s">
        <v>504</v>
      </c>
      <c r="G93" s="5" t="s">
        <v>504</v>
      </c>
      <c r="H93" s="7">
        <v>85</v>
      </c>
      <c r="I93" s="7">
        <v>26.49</v>
      </c>
      <c r="J93" s="7" t="s">
        <v>58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 t="s">
        <v>59</v>
      </c>
      <c r="V93" s="7" t="s">
        <v>60</v>
      </c>
      <c r="W93" s="7" t="s">
        <v>61</v>
      </c>
      <c r="X93" s="5" t="str">
        <f ca="1">IF(INDIRECT("W93")="Clássico","13%",IF(INDIRECT("W93")="Premium","17%","-"))</f>
        <v>13%</v>
      </c>
      <c r="Y93" s="7" t="s">
        <v>62</v>
      </c>
    </row>
    <row r="94" spans="1:25" ht="50" customHeight="1" x14ac:dyDescent="0.25">
      <c r="A94" s="5" t="s">
        <v>505</v>
      </c>
      <c r="B94" s="5" t="s">
        <v>506</v>
      </c>
      <c r="C94" s="5" t="s">
        <v>507</v>
      </c>
      <c r="D94" s="5"/>
      <c r="E94" s="6" t="s">
        <v>508</v>
      </c>
      <c r="F94" s="6" t="s">
        <v>509</v>
      </c>
      <c r="G94" s="5" t="s">
        <v>509</v>
      </c>
      <c r="H94" s="7">
        <v>12</v>
      </c>
      <c r="I94" s="7">
        <v>30.49</v>
      </c>
      <c r="J94" s="7" t="s">
        <v>58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 t="s">
        <v>59</v>
      </c>
      <c r="V94" s="7" t="s">
        <v>101</v>
      </c>
      <c r="W94" s="7" t="s">
        <v>61</v>
      </c>
      <c r="X94" s="5" t="str">
        <f ca="1">IF(INDIRECT("W94")="Clássico","13%",IF(INDIRECT("W94")="Premium","17%","-"))</f>
        <v>13%</v>
      </c>
      <c r="Y94" s="7" t="s">
        <v>62</v>
      </c>
    </row>
    <row r="95" spans="1:25" ht="50" customHeight="1" x14ac:dyDescent="0.25">
      <c r="A95" s="5" t="s">
        <v>510</v>
      </c>
      <c r="B95" s="5" t="s">
        <v>511</v>
      </c>
      <c r="C95" s="5" t="s">
        <v>512</v>
      </c>
      <c r="D95" s="5"/>
      <c r="E95" s="6" t="s">
        <v>513</v>
      </c>
      <c r="F95" s="6" t="s">
        <v>514</v>
      </c>
      <c r="G95" s="5" t="s">
        <v>514</v>
      </c>
      <c r="H95" s="7">
        <v>48</v>
      </c>
      <c r="I95" s="7">
        <v>30.49</v>
      </c>
      <c r="J95" s="7" t="s">
        <v>58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 t="s">
        <v>59</v>
      </c>
      <c r="V95" s="7" t="s">
        <v>60</v>
      </c>
      <c r="W95" s="7" t="s">
        <v>61</v>
      </c>
      <c r="X95" s="5" t="str">
        <f ca="1">IF(INDIRECT("W95")="Clássico","13%",IF(INDIRECT("W95")="Premium","17%","-"))</f>
        <v>13%</v>
      </c>
      <c r="Y95" s="7" t="s">
        <v>62</v>
      </c>
    </row>
    <row r="96" spans="1:25" ht="50" customHeight="1" x14ac:dyDescent="0.25">
      <c r="A96" s="5" t="s">
        <v>515</v>
      </c>
      <c r="B96" s="5" t="s">
        <v>516</v>
      </c>
      <c r="C96" s="5" t="s">
        <v>517</v>
      </c>
      <c r="D96" s="5"/>
      <c r="E96" s="6" t="s">
        <v>518</v>
      </c>
      <c r="F96" s="6" t="s">
        <v>519</v>
      </c>
      <c r="G96" s="5" t="s">
        <v>519</v>
      </c>
      <c r="H96" s="7">
        <v>12</v>
      </c>
      <c r="I96" s="7">
        <v>30.49</v>
      </c>
      <c r="J96" s="7" t="s">
        <v>58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 t="s">
        <v>59</v>
      </c>
      <c r="V96" s="7" t="s">
        <v>60</v>
      </c>
      <c r="W96" s="7" t="s">
        <v>61</v>
      </c>
      <c r="X96" s="5" t="str">
        <f ca="1">IF(INDIRECT("W96")="Clássico","13%",IF(INDIRECT("W96")="Premium","17%","-"))</f>
        <v>13%</v>
      </c>
      <c r="Y96" s="7" t="s">
        <v>62</v>
      </c>
    </row>
    <row r="97" spans="1:25" ht="50" customHeight="1" x14ac:dyDescent="0.25">
      <c r="A97" s="5" t="s">
        <v>520</v>
      </c>
      <c r="B97" s="5" t="s">
        <v>521</v>
      </c>
      <c r="C97" s="5" t="s">
        <v>522</v>
      </c>
      <c r="D97" s="5"/>
      <c r="E97" s="6" t="s">
        <v>523</v>
      </c>
      <c r="F97" s="6" t="s">
        <v>524</v>
      </c>
      <c r="G97" s="5" t="s">
        <v>524</v>
      </c>
      <c r="H97" s="7">
        <v>950</v>
      </c>
      <c r="I97" s="7">
        <v>37.49</v>
      </c>
      <c r="J97" s="7" t="s">
        <v>58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 t="s">
        <v>59</v>
      </c>
      <c r="V97" s="7" t="s">
        <v>60</v>
      </c>
      <c r="W97" s="7" t="s">
        <v>61</v>
      </c>
      <c r="X97" s="5" t="str">
        <f ca="1">IF(INDIRECT("W97")="Clássico","14%",IF(INDIRECT("W97")="Premium","19%","-"))</f>
        <v>14%</v>
      </c>
      <c r="Y97" s="7" t="s">
        <v>62</v>
      </c>
    </row>
    <row r="98" spans="1:25" ht="50" customHeight="1" x14ac:dyDescent="0.25">
      <c r="A98" s="5" t="s">
        <v>525</v>
      </c>
      <c r="B98" s="5" t="s">
        <v>526</v>
      </c>
      <c r="C98" s="5" t="s">
        <v>527</v>
      </c>
      <c r="D98" s="5"/>
      <c r="E98" s="6" t="s">
        <v>528</v>
      </c>
      <c r="F98" s="6" t="s">
        <v>529</v>
      </c>
      <c r="G98" s="5" t="s">
        <v>529</v>
      </c>
      <c r="H98" s="7">
        <v>10</v>
      </c>
      <c r="I98" s="7">
        <v>234.49</v>
      </c>
      <c r="J98" s="7" t="s">
        <v>58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 t="s">
        <v>59</v>
      </c>
      <c r="V98" s="7" t="s">
        <v>129</v>
      </c>
      <c r="W98" s="7" t="s">
        <v>84</v>
      </c>
      <c r="X98" s="5" t="str">
        <f ca="1">IF(INDIRECT("W98")="Clássico","14%",IF(INDIRECT("W98")="Premium","19%","-"))</f>
        <v>19%</v>
      </c>
      <c r="Y98" s="7" t="s">
        <v>62</v>
      </c>
    </row>
    <row r="99" spans="1:25" ht="50" customHeight="1" x14ac:dyDescent="0.25">
      <c r="A99" s="5" t="s">
        <v>530</v>
      </c>
      <c r="B99" s="5" t="s">
        <v>531</v>
      </c>
      <c r="C99" s="5" t="s">
        <v>532</v>
      </c>
      <c r="D99" s="5"/>
      <c r="E99" s="6" t="s">
        <v>533</v>
      </c>
      <c r="F99" s="6" t="s">
        <v>534</v>
      </c>
      <c r="G99" s="5" t="s">
        <v>534</v>
      </c>
      <c r="H99" s="7">
        <v>46</v>
      </c>
      <c r="I99" s="7">
        <v>28.49</v>
      </c>
      <c r="J99" s="7" t="s">
        <v>58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 t="s">
        <v>59</v>
      </c>
      <c r="V99" s="7" t="s">
        <v>60</v>
      </c>
      <c r="W99" s="7" t="s">
        <v>84</v>
      </c>
      <c r="X99" s="5" t="str">
        <f ca="1">IF(INDIRECT("W99")="Clássico","13%",IF(INDIRECT("W99")="Premium","17%","-"))</f>
        <v>17%</v>
      </c>
      <c r="Y99" s="7" t="s">
        <v>62</v>
      </c>
    </row>
    <row r="100" spans="1:25" ht="50" customHeight="1" x14ac:dyDescent="0.25">
      <c r="A100" s="5" t="s">
        <v>273</v>
      </c>
      <c r="B100" s="5" t="s">
        <v>535</v>
      </c>
      <c r="C100" s="5" t="s">
        <v>536</v>
      </c>
      <c r="D100" s="5"/>
      <c r="E100" s="6" t="s">
        <v>276</v>
      </c>
      <c r="F100" s="6" t="s">
        <v>537</v>
      </c>
      <c r="G100" s="5" t="s">
        <v>537</v>
      </c>
      <c r="H100" s="7">
        <v>15</v>
      </c>
      <c r="I100" s="7">
        <v>29.99</v>
      </c>
      <c r="J100" s="7" t="s">
        <v>58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 t="s">
        <v>59</v>
      </c>
      <c r="V100" s="7" t="s">
        <v>60</v>
      </c>
      <c r="W100" s="7" t="s">
        <v>61</v>
      </c>
      <c r="X100" s="5" t="str">
        <f ca="1">IF(INDIRECT("W100")="Clássico","13%",IF(INDIRECT("W100")="Premium","17%","-"))</f>
        <v>13%</v>
      </c>
      <c r="Y100" s="7" t="s">
        <v>62</v>
      </c>
    </row>
    <row r="101" spans="1:25" ht="50" customHeight="1" x14ac:dyDescent="0.25">
      <c r="A101" s="5" t="s">
        <v>538</v>
      </c>
      <c r="B101" s="5" t="s">
        <v>539</v>
      </c>
      <c r="C101" s="5" t="s">
        <v>540</v>
      </c>
      <c r="D101" s="5"/>
      <c r="E101" s="6" t="s">
        <v>541</v>
      </c>
      <c r="F101" s="6" t="s">
        <v>542</v>
      </c>
      <c r="G101" s="5" t="s">
        <v>542</v>
      </c>
      <c r="H101" s="7">
        <v>2</v>
      </c>
      <c r="I101" s="7">
        <v>33.49</v>
      </c>
      <c r="J101" s="7" t="s">
        <v>58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 t="s">
        <v>59</v>
      </c>
      <c r="V101" s="7" t="s">
        <v>60</v>
      </c>
      <c r="W101" s="7" t="s">
        <v>61</v>
      </c>
      <c r="X101" s="5" t="str">
        <f ca="1">IF(INDIRECT("W101")="Clássico","13%",IF(INDIRECT("W101")="Premium","17%","-"))</f>
        <v>13%</v>
      </c>
      <c r="Y101" s="7" t="s">
        <v>62</v>
      </c>
    </row>
    <row r="102" spans="1:25" ht="50" customHeight="1" x14ac:dyDescent="0.25">
      <c r="A102" s="5" t="s">
        <v>543</v>
      </c>
      <c r="B102" s="5" t="s">
        <v>544</v>
      </c>
      <c r="C102" s="5" t="s">
        <v>545</v>
      </c>
      <c r="D102" s="5"/>
      <c r="E102" s="6" t="s">
        <v>546</v>
      </c>
      <c r="F102" s="6" t="s">
        <v>547</v>
      </c>
      <c r="G102" s="5" t="s">
        <v>547</v>
      </c>
      <c r="H102" s="7">
        <v>3</v>
      </c>
      <c r="I102" s="7">
        <v>33.49</v>
      </c>
      <c r="J102" s="7" t="s">
        <v>58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 t="s">
        <v>59</v>
      </c>
      <c r="V102" s="7" t="s">
        <v>60</v>
      </c>
      <c r="W102" s="7" t="s">
        <v>61</v>
      </c>
      <c r="X102" s="5" t="str">
        <f ca="1">IF(INDIRECT("W102")="Clássico","13%",IF(INDIRECT("W102")="Premium","17%","-"))</f>
        <v>13%</v>
      </c>
      <c r="Y102" s="7" t="s">
        <v>62</v>
      </c>
    </row>
    <row r="103" spans="1:25" ht="50" customHeight="1" x14ac:dyDescent="0.25">
      <c r="A103" s="5" t="s">
        <v>548</v>
      </c>
      <c r="B103" s="5" t="s">
        <v>549</v>
      </c>
      <c r="C103" s="5" t="s">
        <v>550</v>
      </c>
      <c r="D103" s="5"/>
      <c r="E103" s="6" t="s">
        <v>551</v>
      </c>
      <c r="F103" s="6" t="s">
        <v>552</v>
      </c>
      <c r="G103" s="5" t="s">
        <v>552</v>
      </c>
      <c r="H103" s="7">
        <v>50</v>
      </c>
      <c r="I103" s="7">
        <v>95.49</v>
      </c>
      <c r="J103" s="7" t="s">
        <v>58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5" t="s">
        <v>59</v>
      </c>
      <c r="V103" s="7" t="s">
        <v>129</v>
      </c>
      <c r="W103" s="7" t="s">
        <v>61</v>
      </c>
      <c r="X103" s="5" t="str">
        <f ca="1">IF(INDIRECT("W103")="Clássico","14%",IF(INDIRECT("W103")="Premium","19%","-"))</f>
        <v>14%</v>
      </c>
      <c r="Y103" s="7" t="s">
        <v>62</v>
      </c>
    </row>
    <row r="104" spans="1:25" ht="50" customHeight="1" x14ac:dyDescent="0.25">
      <c r="A104" s="5" t="s">
        <v>553</v>
      </c>
      <c r="B104" s="5" t="s">
        <v>554</v>
      </c>
      <c r="C104" s="5" t="s">
        <v>555</v>
      </c>
      <c r="D104" s="5"/>
      <c r="E104" s="6" t="s">
        <v>556</v>
      </c>
      <c r="F104" s="6" t="s">
        <v>557</v>
      </c>
      <c r="G104" s="5" t="s">
        <v>557</v>
      </c>
      <c r="H104" s="7">
        <v>20</v>
      </c>
      <c r="I104" s="7">
        <v>24.49</v>
      </c>
      <c r="J104" s="7" t="s">
        <v>58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 t="s">
        <v>59</v>
      </c>
      <c r="V104" s="7" t="s">
        <v>60</v>
      </c>
      <c r="W104" s="7" t="s">
        <v>61</v>
      </c>
      <c r="X104" s="5" t="str">
        <f ca="1">IF(INDIRECT("W104")="Clássico","13%",IF(INDIRECT("W104")="Premium","17%","-"))</f>
        <v>13%</v>
      </c>
      <c r="Y104" s="7" t="s">
        <v>62</v>
      </c>
    </row>
    <row r="105" spans="1:25" ht="50" customHeight="1" x14ac:dyDescent="0.25">
      <c r="A105" s="5" t="s">
        <v>558</v>
      </c>
      <c r="B105" s="5" t="s">
        <v>559</v>
      </c>
      <c r="C105" s="5" t="s">
        <v>560</v>
      </c>
      <c r="D105" s="5"/>
      <c r="E105" s="6" t="s">
        <v>561</v>
      </c>
      <c r="F105" s="6" t="s">
        <v>562</v>
      </c>
      <c r="G105" s="5" t="s">
        <v>562</v>
      </c>
      <c r="H105" s="7">
        <v>12</v>
      </c>
      <c r="I105" s="7">
        <v>30.49</v>
      </c>
      <c r="J105" s="7" t="s">
        <v>58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 t="s">
        <v>59</v>
      </c>
      <c r="V105" s="7" t="s">
        <v>101</v>
      </c>
      <c r="W105" s="7" t="s">
        <v>61</v>
      </c>
      <c r="X105" s="5" t="str">
        <f ca="1">IF(INDIRECT("W105")="Clássico","13%",IF(INDIRECT("W105")="Premium","17%","-"))</f>
        <v>13%</v>
      </c>
      <c r="Y105" s="7" t="s">
        <v>62</v>
      </c>
    </row>
    <row r="106" spans="1:25" ht="50" customHeight="1" x14ac:dyDescent="0.25">
      <c r="A106" s="5" t="s">
        <v>563</v>
      </c>
      <c r="B106" s="5" t="s">
        <v>564</v>
      </c>
      <c r="C106" s="5" t="s">
        <v>565</v>
      </c>
      <c r="D106" s="5"/>
      <c r="E106" s="6" t="s">
        <v>566</v>
      </c>
      <c r="F106" s="6" t="s">
        <v>567</v>
      </c>
      <c r="G106" s="5" t="s">
        <v>567</v>
      </c>
      <c r="H106" s="7">
        <v>12</v>
      </c>
      <c r="I106" s="7">
        <v>30.49</v>
      </c>
      <c r="J106" s="7" t="s">
        <v>58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 t="s">
        <v>59</v>
      </c>
      <c r="V106" s="7" t="s">
        <v>101</v>
      </c>
      <c r="W106" s="7" t="s">
        <v>61</v>
      </c>
      <c r="X106" s="5" t="str">
        <f ca="1">IF(INDIRECT("W106")="Clássico","13%",IF(INDIRECT("W106")="Premium","17%","-"))</f>
        <v>13%</v>
      </c>
      <c r="Y106" s="7" t="s">
        <v>62</v>
      </c>
    </row>
    <row r="107" spans="1:25" ht="50" customHeight="1" x14ac:dyDescent="0.25">
      <c r="A107" s="5" t="s">
        <v>568</v>
      </c>
      <c r="B107" s="5" t="s">
        <v>569</v>
      </c>
      <c r="C107" s="5" t="s">
        <v>570</v>
      </c>
      <c r="D107" s="5"/>
      <c r="E107" s="6" t="s">
        <v>571</v>
      </c>
      <c r="F107" s="6" t="s">
        <v>572</v>
      </c>
      <c r="G107" s="5" t="s">
        <v>572</v>
      </c>
      <c r="H107" s="7">
        <v>12</v>
      </c>
      <c r="I107" s="7">
        <v>30.49</v>
      </c>
      <c r="J107" s="7" t="s">
        <v>58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 t="s">
        <v>59</v>
      </c>
      <c r="V107" s="7" t="s">
        <v>101</v>
      </c>
      <c r="W107" s="7" t="s">
        <v>61</v>
      </c>
      <c r="X107" s="5" t="str">
        <f ca="1">IF(INDIRECT("W107")="Clássico","13%",IF(INDIRECT("W107")="Premium","17%","-"))</f>
        <v>13%</v>
      </c>
      <c r="Y107" s="7" t="s">
        <v>62</v>
      </c>
    </row>
    <row r="108" spans="1:25" ht="50" customHeight="1" x14ac:dyDescent="0.25">
      <c r="A108" s="5" t="s">
        <v>573</v>
      </c>
      <c r="B108" s="5" t="s">
        <v>574</v>
      </c>
      <c r="C108" s="5" t="s">
        <v>575</v>
      </c>
      <c r="D108" s="5"/>
      <c r="E108" s="6" t="s">
        <v>576</v>
      </c>
      <c r="F108" s="6" t="s">
        <v>577</v>
      </c>
      <c r="G108" s="5" t="s">
        <v>577</v>
      </c>
      <c r="H108" s="7">
        <v>12</v>
      </c>
      <c r="I108" s="7">
        <v>30.49</v>
      </c>
      <c r="J108" s="7" t="s">
        <v>58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 t="s">
        <v>59</v>
      </c>
      <c r="V108" s="7" t="s">
        <v>101</v>
      </c>
      <c r="W108" s="7" t="s">
        <v>61</v>
      </c>
      <c r="X108" s="5" t="str">
        <f ca="1">IF(INDIRECT("W108")="Clássico","13%",IF(INDIRECT("W108")="Premium","17%","-"))</f>
        <v>13%</v>
      </c>
      <c r="Y108" s="7" t="s">
        <v>62</v>
      </c>
    </row>
    <row r="109" spans="1:25" ht="50" customHeight="1" x14ac:dyDescent="0.25">
      <c r="A109" s="5" t="s">
        <v>578</v>
      </c>
      <c r="B109" s="5" t="s">
        <v>579</v>
      </c>
      <c r="C109" s="5" t="s">
        <v>580</v>
      </c>
      <c r="D109" s="5"/>
      <c r="E109" s="6" t="s">
        <v>581</v>
      </c>
      <c r="F109" s="6" t="s">
        <v>582</v>
      </c>
      <c r="G109" s="5" t="s">
        <v>582</v>
      </c>
      <c r="H109" s="7">
        <v>10</v>
      </c>
      <c r="I109" s="7">
        <v>19.489999999999998</v>
      </c>
      <c r="J109" s="7" t="s">
        <v>58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 t="s">
        <v>59</v>
      </c>
      <c r="V109" s="7" t="s">
        <v>60</v>
      </c>
      <c r="W109" s="7" t="s">
        <v>61</v>
      </c>
      <c r="X109" s="5" t="str">
        <f ca="1">IF(INDIRECT("W109")="Clássico","12%",IF(INDIRECT("W109")="Premium","17%","-"))</f>
        <v>12%</v>
      </c>
      <c r="Y109" s="7" t="s">
        <v>62</v>
      </c>
    </row>
    <row r="110" spans="1:25" ht="50" customHeight="1" x14ac:dyDescent="0.25">
      <c r="A110" s="5" t="s">
        <v>583</v>
      </c>
      <c r="B110" s="5" t="s">
        <v>584</v>
      </c>
      <c r="C110" s="5" t="s">
        <v>585</v>
      </c>
      <c r="D110" s="5"/>
      <c r="E110" s="6" t="s">
        <v>586</v>
      </c>
      <c r="F110" s="6" t="s">
        <v>587</v>
      </c>
      <c r="G110" s="5" t="s">
        <v>587</v>
      </c>
      <c r="H110" s="7">
        <v>2</v>
      </c>
      <c r="I110" s="7">
        <v>33.49</v>
      </c>
      <c r="J110" s="7" t="s">
        <v>58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 t="s">
        <v>59</v>
      </c>
      <c r="V110" s="7" t="s">
        <v>60</v>
      </c>
      <c r="W110" s="7" t="s">
        <v>61</v>
      </c>
      <c r="X110" s="5" t="str">
        <f ca="1">IF(INDIRECT("W110")="Clássico","13%",IF(INDIRECT("W110")="Premium","17%","-"))</f>
        <v>13%</v>
      </c>
      <c r="Y110" s="7" t="s">
        <v>62</v>
      </c>
    </row>
    <row r="111" spans="1:25" ht="50" customHeight="1" x14ac:dyDescent="0.25">
      <c r="A111" s="5" t="s">
        <v>588</v>
      </c>
      <c r="B111" s="5" t="s">
        <v>589</v>
      </c>
      <c r="C111" s="5" t="s">
        <v>590</v>
      </c>
      <c r="D111" s="5"/>
      <c r="E111" s="6" t="s">
        <v>591</v>
      </c>
      <c r="F111" s="6" t="s">
        <v>592</v>
      </c>
      <c r="G111" s="5" t="s">
        <v>592</v>
      </c>
      <c r="H111" s="7">
        <v>6</v>
      </c>
      <c r="I111" s="7">
        <v>37.49</v>
      </c>
      <c r="J111" s="7" t="s">
        <v>58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 t="s">
        <v>59</v>
      </c>
      <c r="V111" s="7" t="s">
        <v>60</v>
      </c>
      <c r="W111" s="7" t="s">
        <v>61</v>
      </c>
      <c r="X111" s="5" t="str">
        <f ca="1">IF(INDIRECT("W111")="Clássico","13%",IF(INDIRECT("W111")="Premium","17%","-"))</f>
        <v>13%</v>
      </c>
      <c r="Y111" s="7" t="s">
        <v>62</v>
      </c>
    </row>
    <row r="112" spans="1:25" ht="50" customHeight="1" x14ac:dyDescent="0.25">
      <c r="A112" s="5" t="s">
        <v>593</v>
      </c>
      <c r="B112" s="5" t="s">
        <v>594</v>
      </c>
      <c r="C112" s="5" t="s">
        <v>595</v>
      </c>
      <c r="D112" s="5"/>
      <c r="E112" s="6" t="s">
        <v>596</v>
      </c>
      <c r="F112" s="6" t="s">
        <v>597</v>
      </c>
      <c r="G112" s="5" t="s">
        <v>597</v>
      </c>
      <c r="H112" s="7">
        <v>3</v>
      </c>
      <c r="I112" s="7">
        <v>109.49</v>
      </c>
      <c r="J112" s="7" t="s">
        <v>58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 t="s">
        <v>59</v>
      </c>
      <c r="V112" s="7" t="s">
        <v>129</v>
      </c>
      <c r="W112" s="7" t="s">
        <v>84</v>
      </c>
      <c r="X112" s="5" t="str">
        <f ca="1">IF(INDIRECT("W112")="Clássico","14%",IF(INDIRECT("W112")="Premium","19%","-"))</f>
        <v>19%</v>
      </c>
      <c r="Y112" s="7" t="s">
        <v>62</v>
      </c>
    </row>
    <row r="113" spans="1:25" ht="50" customHeight="1" x14ac:dyDescent="0.25">
      <c r="A113" s="5" t="s">
        <v>598</v>
      </c>
      <c r="B113" s="5" t="s">
        <v>599</v>
      </c>
      <c r="C113" s="5" t="s">
        <v>600</v>
      </c>
      <c r="D113" s="5"/>
      <c r="E113" s="6" t="s">
        <v>601</v>
      </c>
      <c r="F113" s="6" t="s">
        <v>602</v>
      </c>
      <c r="G113" s="5" t="s">
        <v>602</v>
      </c>
      <c r="H113" s="7">
        <v>24</v>
      </c>
      <c r="I113" s="7">
        <v>22.49</v>
      </c>
      <c r="J113" s="7" t="s">
        <v>58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 t="s">
        <v>59</v>
      </c>
      <c r="V113" s="7" t="s">
        <v>60</v>
      </c>
      <c r="W113" s="7" t="s">
        <v>61</v>
      </c>
      <c r="X113" s="5" t="str">
        <f ca="1">IF(INDIRECT("W113")="Clássico","13%",IF(INDIRECT("W113")="Premium","17%","-"))</f>
        <v>13%</v>
      </c>
      <c r="Y113" s="7" t="s">
        <v>62</v>
      </c>
    </row>
    <row r="114" spans="1:25" ht="50" customHeight="1" x14ac:dyDescent="0.25">
      <c r="A114" s="5" t="s">
        <v>603</v>
      </c>
      <c r="B114" s="5" t="s">
        <v>604</v>
      </c>
      <c r="C114" s="5" t="s">
        <v>605</v>
      </c>
      <c r="D114" s="5"/>
      <c r="E114" s="6" t="s">
        <v>606</v>
      </c>
      <c r="F114" s="6" t="s">
        <v>607</v>
      </c>
      <c r="G114" s="5" t="s">
        <v>607</v>
      </c>
      <c r="H114" s="7">
        <v>8</v>
      </c>
      <c r="I114" s="7">
        <v>26.49</v>
      </c>
      <c r="J114" s="7" t="s">
        <v>58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 t="s">
        <v>59</v>
      </c>
      <c r="V114" s="7" t="s">
        <v>60</v>
      </c>
      <c r="W114" s="7" t="s">
        <v>61</v>
      </c>
      <c r="X114" s="5" t="str">
        <f ca="1">IF(INDIRECT("W114")="Clássico","13%",IF(INDIRECT("W114")="Premium","17%","-"))</f>
        <v>13%</v>
      </c>
      <c r="Y114" s="7" t="s">
        <v>62</v>
      </c>
    </row>
    <row r="115" spans="1:25" ht="50" customHeight="1" x14ac:dyDescent="0.25">
      <c r="A115" s="5" t="s">
        <v>608</v>
      </c>
      <c r="B115" s="5" t="s">
        <v>609</v>
      </c>
      <c r="C115" s="5" t="s">
        <v>610</v>
      </c>
      <c r="D115" s="5"/>
      <c r="E115" s="6" t="s">
        <v>611</v>
      </c>
      <c r="F115" s="6" t="s">
        <v>612</v>
      </c>
      <c r="G115" s="5" t="s">
        <v>612</v>
      </c>
      <c r="H115" s="7">
        <v>3</v>
      </c>
      <c r="I115" s="7">
        <v>28.49</v>
      </c>
      <c r="J115" s="7" t="s">
        <v>58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 t="s">
        <v>59</v>
      </c>
      <c r="V115" s="7" t="s">
        <v>60</v>
      </c>
      <c r="W115" s="7" t="s">
        <v>61</v>
      </c>
      <c r="X115" s="5" t="str">
        <f ca="1">IF(INDIRECT("W115")="Clássico","13%",IF(INDIRECT("W115")="Premium","17%","-"))</f>
        <v>13%</v>
      </c>
      <c r="Y115" s="7" t="s">
        <v>62</v>
      </c>
    </row>
    <row r="116" spans="1:25" ht="50" customHeight="1" x14ac:dyDescent="0.25">
      <c r="A116" s="5" t="s">
        <v>613</v>
      </c>
      <c r="B116" s="5" t="s">
        <v>614</v>
      </c>
      <c r="C116" s="5" t="s">
        <v>615</v>
      </c>
      <c r="D116" s="5"/>
      <c r="E116" s="6" t="s">
        <v>616</v>
      </c>
      <c r="F116" s="6" t="s">
        <v>617</v>
      </c>
      <c r="G116" s="5" t="s">
        <v>617</v>
      </c>
      <c r="H116" s="7">
        <v>10</v>
      </c>
      <c r="I116" s="7">
        <v>89.49</v>
      </c>
      <c r="J116" s="7" t="s">
        <v>58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 t="s">
        <v>59</v>
      </c>
      <c r="V116" s="7" t="s">
        <v>101</v>
      </c>
      <c r="W116" s="7" t="s">
        <v>61</v>
      </c>
      <c r="X116" s="5" t="str">
        <f ca="1">IF(INDIRECT("W116")="Clássico","13%",IF(INDIRECT("W116")="Premium","17%","-"))</f>
        <v>13%</v>
      </c>
      <c r="Y116" s="7" t="s">
        <v>62</v>
      </c>
    </row>
    <row r="117" spans="1:25" ht="50" customHeight="1" x14ac:dyDescent="0.25">
      <c r="A117" s="5" t="s">
        <v>618</v>
      </c>
      <c r="B117" s="5" t="s">
        <v>619</v>
      </c>
      <c r="C117" s="5" t="s">
        <v>620</v>
      </c>
      <c r="D117" s="5"/>
      <c r="E117" s="6" t="s">
        <v>621</v>
      </c>
      <c r="F117" s="6" t="s">
        <v>622</v>
      </c>
      <c r="G117" s="5" t="s">
        <v>622</v>
      </c>
      <c r="H117" s="7">
        <v>6</v>
      </c>
      <c r="I117" s="7">
        <v>42.49</v>
      </c>
      <c r="J117" s="7" t="s">
        <v>58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5" t="s">
        <v>59</v>
      </c>
      <c r="V117" s="7" t="s">
        <v>60</v>
      </c>
      <c r="W117" s="7" t="s">
        <v>61</v>
      </c>
      <c r="X117" s="5" t="str">
        <f ca="1">IF(INDIRECT("W117")="Clássico","14%",IF(INDIRECT("W117")="Premium","19%","-"))</f>
        <v>14%</v>
      </c>
      <c r="Y117" s="7" t="s">
        <v>62</v>
      </c>
    </row>
    <row r="118" spans="1:25" ht="50" customHeight="1" x14ac:dyDescent="0.25">
      <c r="A118" s="5" t="s">
        <v>623</v>
      </c>
      <c r="B118" s="5" t="s">
        <v>624</v>
      </c>
      <c r="C118" s="5" t="s">
        <v>625</v>
      </c>
      <c r="D118" s="5"/>
      <c r="E118" s="6" t="s">
        <v>626</v>
      </c>
      <c r="F118" s="6" t="s">
        <v>627</v>
      </c>
      <c r="G118" s="5" t="s">
        <v>627</v>
      </c>
      <c r="H118" s="7">
        <v>6</v>
      </c>
      <c r="I118" s="7">
        <v>35.49</v>
      </c>
      <c r="J118" s="7" t="s">
        <v>58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 t="s">
        <v>59</v>
      </c>
      <c r="V118" s="7" t="s">
        <v>101</v>
      </c>
      <c r="W118" s="7" t="s">
        <v>61</v>
      </c>
      <c r="X118" s="5" t="str">
        <f ca="1">IF(INDIRECT("W118")="Clássico","13%",IF(INDIRECT("W118")="Premium","17%","-"))</f>
        <v>13%</v>
      </c>
      <c r="Y118" s="7" t="s">
        <v>62</v>
      </c>
    </row>
    <row r="119" spans="1:25" ht="50" customHeight="1" x14ac:dyDescent="0.25">
      <c r="A119" s="5" t="s">
        <v>628</v>
      </c>
      <c r="B119" s="5" t="s">
        <v>629</v>
      </c>
      <c r="C119" s="5" t="s">
        <v>630</v>
      </c>
      <c r="D119" s="5"/>
      <c r="E119" s="6" t="s">
        <v>631</v>
      </c>
      <c r="F119" s="6" t="s">
        <v>632</v>
      </c>
      <c r="G119" s="5" t="s">
        <v>632</v>
      </c>
      <c r="H119" s="7">
        <v>10</v>
      </c>
      <c r="I119" s="7">
        <v>93.49</v>
      </c>
      <c r="J119" s="7" t="s">
        <v>58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 t="s">
        <v>59</v>
      </c>
      <c r="V119" s="7" t="s">
        <v>101</v>
      </c>
      <c r="W119" s="7" t="s">
        <v>61</v>
      </c>
      <c r="X119" s="5" t="str">
        <f ca="1">IF(INDIRECT("W119")="Clássico","13%",IF(INDIRECT("W119")="Premium","17%","-"))</f>
        <v>13%</v>
      </c>
      <c r="Y119" s="7" t="s">
        <v>62</v>
      </c>
    </row>
    <row r="120" spans="1:25" ht="50" customHeight="1" x14ac:dyDescent="0.25">
      <c r="A120" s="5" t="s">
        <v>633</v>
      </c>
      <c r="B120" s="5" t="s">
        <v>634</v>
      </c>
      <c r="C120" s="5" t="s">
        <v>635</v>
      </c>
      <c r="D120" s="5"/>
      <c r="E120" s="6" t="s">
        <v>636</v>
      </c>
      <c r="F120" s="6" t="s">
        <v>637</v>
      </c>
      <c r="G120" s="5" t="s">
        <v>637</v>
      </c>
      <c r="H120" s="7">
        <v>11</v>
      </c>
      <c r="I120" s="7">
        <v>26.49</v>
      </c>
      <c r="J120" s="7" t="s">
        <v>58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 t="s">
        <v>59</v>
      </c>
      <c r="V120" s="7" t="s">
        <v>101</v>
      </c>
      <c r="W120" s="7" t="s">
        <v>61</v>
      </c>
      <c r="X120" s="5" t="str">
        <f ca="1">IF(INDIRECT("W120")="Clássico","13%",IF(INDIRECT("W120")="Premium","17%","-"))</f>
        <v>13%</v>
      </c>
      <c r="Y120" s="7" t="s">
        <v>62</v>
      </c>
    </row>
    <row r="121" spans="1:25" ht="50" customHeight="1" x14ac:dyDescent="0.25">
      <c r="A121" s="5" t="s">
        <v>638</v>
      </c>
      <c r="B121" s="5" t="s">
        <v>639</v>
      </c>
      <c r="C121" s="5" t="s">
        <v>640</v>
      </c>
      <c r="D121" s="5"/>
      <c r="E121" s="6" t="s">
        <v>641</v>
      </c>
      <c r="F121" s="6" t="s">
        <v>642</v>
      </c>
      <c r="G121" s="5" t="s">
        <v>642</v>
      </c>
      <c r="H121" s="7">
        <v>24</v>
      </c>
      <c r="I121" s="7">
        <v>26.49</v>
      </c>
      <c r="J121" s="7" t="s">
        <v>58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 t="s">
        <v>59</v>
      </c>
      <c r="V121" s="7" t="s">
        <v>60</v>
      </c>
      <c r="W121" s="7" t="s">
        <v>61</v>
      </c>
      <c r="X121" s="5" t="str">
        <f ca="1">IF(INDIRECT("W121")="Clássico","12%",IF(INDIRECT("W121")="Premium","17%","-"))</f>
        <v>12%</v>
      </c>
      <c r="Y121" s="7" t="s">
        <v>62</v>
      </c>
    </row>
    <row r="122" spans="1:25" ht="50" customHeight="1" x14ac:dyDescent="0.25">
      <c r="A122" s="5" t="s">
        <v>643</v>
      </c>
      <c r="B122" s="5" t="s">
        <v>644</v>
      </c>
      <c r="C122" s="5" t="s">
        <v>645</v>
      </c>
      <c r="D122" s="5"/>
      <c r="E122" s="6" t="s">
        <v>646</v>
      </c>
      <c r="F122" s="6" t="s">
        <v>647</v>
      </c>
      <c r="G122" s="5" t="s">
        <v>647</v>
      </c>
      <c r="H122" s="7">
        <v>5</v>
      </c>
      <c r="I122" s="7">
        <v>86.49</v>
      </c>
      <c r="J122" s="7" t="s">
        <v>58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 t="s">
        <v>59</v>
      </c>
      <c r="V122" s="7" t="s">
        <v>129</v>
      </c>
      <c r="W122" s="7" t="s">
        <v>61</v>
      </c>
      <c r="X122" s="5" t="str">
        <f ca="1">IF(INDIRECT("W122")="Clássico","13%",IF(INDIRECT("W122")="Premium","17%","-"))</f>
        <v>13%</v>
      </c>
      <c r="Y122" s="7" t="s">
        <v>62</v>
      </c>
    </row>
    <row r="123" spans="1:25" ht="50" customHeight="1" x14ac:dyDescent="0.25">
      <c r="A123" s="5" t="s">
        <v>648</v>
      </c>
      <c r="B123" s="5" t="s">
        <v>649</v>
      </c>
      <c r="C123" s="5" t="s">
        <v>650</v>
      </c>
      <c r="D123" s="5"/>
      <c r="E123" s="6" t="s">
        <v>651</v>
      </c>
      <c r="F123" s="6" t="s">
        <v>652</v>
      </c>
      <c r="G123" s="5" t="s">
        <v>653</v>
      </c>
      <c r="H123" s="7">
        <v>36</v>
      </c>
      <c r="I123" s="7">
        <v>67.489999999999995</v>
      </c>
      <c r="J123" s="7" t="s">
        <v>58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 t="s">
        <v>59</v>
      </c>
      <c r="V123" s="7" t="s">
        <v>60</v>
      </c>
      <c r="W123" s="7" t="s">
        <v>61</v>
      </c>
      <c r="X123" s="5" t="str">
        <f ca="1">IF(INDIRECT("W123")="Clássico","13%",IF(INDIRECT("W123")="Premium","17%","-"))</f>
        <v>13%</v>
      </c>
      <c r="Y123" s="7" t="s">
        <v>62</v>
      </c>
    </row>
    <row r="124" spans="1:25" ht="50" customHeight="1" x14ac:dyDescent="0.25">
      <c r="A124" s="5" t="s">
        <v>654</v>
      </c>
      <c r="B124" s="5" t="s">
        <v>655</v>
      </c>
      <c r="C124" s="5" t="s">
        <v>656</v>
      </c>
      <c r="D124" s="5"/>
      <c r="E124" s="6" t="s">
        <v>657</v>
      </c>
      <c r="F124" s="6" t="s">
        <v>658</v>
      </c>
      <c r="G124" s="5" t="s">
        <v>658</v>
      </c>
      <c r="H124" s="7">
        <v>10</v>
      </c>
      <c r="I124" s="7">
        <v>93.49</v>
      </c>
      <c r="J124" s="7" t="s">
        <v>58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 t="s">
        <v>59</v>
      </c>
      <c r="V124" s="7" t="s">
        <v>101</v>
      </c>
      <c r="W124" s="7" t="s">
        <v>61</v>
      </c>
      <c r="X124" s="5" t="str">
        <f ca="1">IF(INDIRECT("W124")="Clássico","13%",IF(INDIRECT("W124")="Premium","17%","-"))</f>
        <v>13%</v>
      </c>
      <c r="Y124" s="7" t="s">
        <v>62</v>
      </c>
    </row>
    <row r="125" spans="1:25" ht="50" customHeight="1" x14ac:dyDescent="0.25">
      <c r="A125" s="5" t="s">
        <v>659</v>
      </c>
      <c r="B125" s="5" t="s">
        <v>660</v>
      </c>
      <c r="C125" s="5" t="s">
        <v>661</v>
      </c>
      <c r="D125" s="5"/>
      <c r="E125" s="6" t="s">
        <v>662</v>
      </c>
      <c r="F125" s="6" t="s">
        <v>663</v>
      </c>
      <c r="G125" s="5" t="s">
        <v>663</v>
      </c>
      <c r="H125" s="7">
        <v>12</v>
      </c>
      <c r="I125" s="7">
        <v>26.49</v>
      </c>
      <c r="J125" s="7" t="s">
        <v>58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 t="s">
        <v>59</v>
      </c>
      <c r="V125" s="7" t="s">
        <v>101</v>
      </c>
      <c r="W125" s="7" t="s">
        <v>61</v>
      </c>
      <c r="X125" s="5" t="str">
        <f ca="1">IF(INDIRECT("W125")="Clássico","13%",IF(INDIRECT("W125")="Premium","17%","-"))</f>
        <v>13%</v>
      </c>
      <c r="Y125" s="7" t="s">
        <v>62</v>
      </c>
    </row>
    <row r="126" spans="1:25" ht="50" customHeight="1" x14ac:dyDescent="0.25">
      <c r="A126" s="5" t="s">
        <v>664</v>
      </c>
      <c r="B126" s="5" t="s">
        <v>665</v>
      </c>
      <c r="C126" s="5" t="s">
        <v>666</v>
      </c>
      <c r="D126" s="5"/>
      <c r="E126" s="6" t="s">
        <v>667</v>
      </c>
      <c r="F126" s="6" t="s">
        <v>668</v>
      </c>
      <c r="G126" s="5" t="s">
        <v>668</v>
      </c>
      <c r="H126" s="7">
        <v>10</v>
      </c>
      <c r="I126" s="7">
        <v>70.489999999999995</v>
      </c>
      <c r="J126" s="7" t="s">
        <v>58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 t="s">
        <v>59</v>
      </c>
      <c r="V126" s="7" t="s">
        <v>101</v>
      </c>
      <c r="W126" s="7" t="s">
        <v>61</v>
      </c>
      <c r="X126" s="5" t="str">
        <f ca="1">IF(INDIRECT("W126")="Clássico","13%",IF(INDIRECT("W126")="Premium","17%","-"))</f>
        <v>13%</v>
      </c>
      <c r="Y126" s="7" t="s">
        <v>62</v>
      </c>
    </row>
    <row r="127" spans="1:25" ht="50" customHeight="1" x14ac:dyDescent="0.25">
      <c r="A127" s="5" t="s">
        <v>669</v>
      </c>
      <c r="B127" s="5" t="s">
        <v>670</v>
      </c>
      <c r="C127" s="5" t="s">
        <v>671</v>
      </c>
      <c r="D127" s="5"/>
      <c r="E127" s="6" t="s">
        <v>672</v>
      </c>
      <c r="F127" s="6" t="s">
        <v>673</v>
      </c>
      <c r="G127" s="5" t="s">
        <v>673</v>
      </c>
      <c r="H127" s="7">
        <v>12</v>
      </c>
      <c r="I127" s="7">
        <v>24.49</v>
      </c>
      <c r="J127" s="7" t="s">
        <v>58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 t="s">
        <v>59</v>
      </c>
      <c r="V127" s="7" t="s">
        <v>60</v>
      </c>
      <c r="W127" s="7" t="s">
        <v>61</v>
      </c>
      <c r="X127" s="5" t="str">
        <f ca="1">IF(INDIRECT("W127")="Clássico","13%",IF(INDIRECT("W127")="Premium","17%","-"))</f>
        <v>13%</v>
      </c>
      <c r="Y127" s="7" t="s">
        <v>62</v>
      </c>
    </row>
    <row r="128" spans="1:25" ht="50" customHeight="1" x14ac:dyDescent="0.25">
      <c r="A128" s="5" t="s">
        <v>674</v>
      </c>
      <c r="B128" s="5" t="s">
        <v>675</v>
      </c>
      <c r="C128" s="5" t="s">
        <v>676</v>
      </c>
      <c r="D128" s="5"/>
      <c r="E128" s="6" t="s">
        <v>677</v>
      </c>
      <c r="F128" s="6" t="s">
        <v>678</v>
      </c>
      <c r="G128" s="5" t="s">
        <v>679</v>
      </c>
      <c r="H128" s="7">
        <v>11</v>
      </c>
      <c r="I128" s="7">
        <v>33.49</v>
      </c>
      <c r="J128" s="7" t="s">
        <v>58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 t="s">
        <v>59</v>
      </c>
      <c r="V128" s="7" t="s">
        <v>101</v>
      </c>
      <c r="W128" s="7" t="s">
        <v>61</v>
      </c>
      <c r="X128" s="5" t="str">
        <f ca="1">IF(INDIRECT("W128")="Clássico","13%",IF(INDIRECT("W128")="Premium","17%","-"))</f>
        <v>13%</v>
      </c>
      <c r="Y128" s="7" t="s">
        <v>62</v>
      </c>
    </row>
    <row r="129" spans="1:25" ht="50" customHeight="1" x14ac:dyDescent="0.25">
      <c r="A129" s="5" t="s">
        <v>680</v>
      </c>
      <c r="B129" s="5" t="s">
        <v>681</v>
      </c>
      <c r="C129" s="5" t="s">
        <v>682</v>
      </c>
      <c r="D129" s="5"/>
      <c r="E129" s="6" t="s">
        <v>683</v>
      </c>
      <c r="F129" s="6" t="s">
        <v>684</v>
      </c>
      <c r="G129" s="5" t="s">
        <v>684</v>
      </c>
      <c r="H129" s="7">
        <v>12</v>
      </c>
      <c r="I129" s="7">
        <v>25.66</v>
      </c>
      <c r="J129" s="7" t="s">
        <v>58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 t="s">
        <v>59</v>
      </c>
      <c r="V129" s="7" t="s">
        <v>101</v>
      </c>
      <c r="W129" s="7" t="s">
        <v>61</v>
      </c>
      <c r="X129" s="5" t="str">
        <f ca="1">IF(INDIRECT("W129")="Clássico","13%",IF(INDIRECT("W129")="Premium","17%","-"))</f>
        <v>13%</v>
      </c>
      <c r="Y129" s="7" t="s">
        <v>62</v>
      </c>
    </row>
    <row r="130" spans="1:25" ht="50" customHeight="1" x14ac:dyDescent="0.25">
      <c r="A130" s="5" t="s">
        <v>685</v>
      </c>
      <c r="B130" s="5" t="s">
        <v>686</v>
      </c>
      <c r="C130" s="5" t="s">
        <v>687</v>
      </c>
      <c r="D130" s="5"/>
      <c r="E130" s="6" t="s">
        <v>688</v>
      </c>
      <c r="F130" s="6" t="s">
        <v>689</v>
      </c>
      <c r="G130" s="5" t="s">
        <v>689</v>
      </c>
      <c r="H130" s="7">
        <v>12</v>
      </c>
      <c r="I130" s="7">
        <v>26.49</v>
      </c>
      <c r="J130" s="7" t="s">
        <v>58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 t="s">
        <v>59</v>
      </c>
      <c r="V130" s="7" t="s">
        <v>101</v>
      </c>
      <c r="W130" s="7" t="s">
        <v>61</v>
      </c>
      <c r="X130" s="5" t="str">
        <f ca="1">IF(INDIRECT("W130")="Clássico","13%",IF(INDIRECT("W130")="Premium","17%","-"))</f>
        <v>13%</v>
      </c>
      <c r="Y130" s="7" t="s">
        <v>62</v>
      </c>
    </row>
    <row r="131" spans="1:25" ht="50" customHeight="1" x14ac:dyDescent="0.25">
      <c r="A131" s="5" t="s">
        <v>690</v>
      </c>
      <c r="B131" s="5" t="s">
        <v>691</v>
      </c>
      <c r="C131" s="5" t="s">
        <v>692</v>
      </c>
      <c r="D131" s="5"/>
      <c r="E131" s="6" t="s">
        <v>693</v>
      </c>
      <c r="F131" s="6" t="s">
        <v>694</v>
      </c>
      <c r="G131" s="5" t="s">
        <v>694</v>
      </c>
      <c r="H131" s="7">
        <v>24</v>
      </c>
      <c r="I131" s="7">
        <v>30.49</v>
      </c>
      <c r="J131" s="7" t="s">
        <v>58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 t="s">
        <v>59</v>
      </c>
      <c r="V131" s="7" t="s">
        <v>60</v>
      </c>
      <c r="W131" s="7" t="s">
        <v>61</v>
      </c>
      <c r="X131" s="5" t="str">
        <f ca="1">IF(INDIRECT("W131")="Clássico","13%",IF(INDIRECT("W131")="Premium","17%","-"))</f>
        <v>13%</v>
      </c>
      <c r="Y131" s="7" t="s">
        <v>62</v>
      </c>
    </row>
    <row r="132" spans="1:25" ht="50" customHeight="1" x14ac:dyDescent="0.25">
      <c r="A132" s="5" t="s">
        <v>695</v>
      </c>
      <c r="B132" s="5" t="s">
        <v>696</v>
      </c>
      <c r="C132" s="5" t="s">
        <v>697</v>
      </c>
      <c r="D132" s="5"/>
      <c r="E132" s="6" t="s">
        <v>698</v>
      </c>
      <c r="F132" s="6" t="s">
        <v>699</v>
      </c>
      <c r="G132" s="5" t="s">
        <v>699</v>
      </c>
      <c r="H132" s="7">
        <v>2</v>
      </c>
      <c r="I132" s="7">
        <v>33.49</v>
      </c>
      <c r="J132" s="7" t="s">
        <v>58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 t="s">
        <v>59</v>
      </c>
      <c r="V132" s="7" t="s">
        <v>60</v>
      </c>
      <c r="W132" s="7" t="s">
        <v>61</v>
      </c>
      <c r="X132" s="5" t="str">
        <f ca="1">IF(INDIRECT("W132")="Clássico","13%",IF(INDIRECT("W132")="Premium","17%","-"))</f>
        <v>13%</v>
      </c>
      <c r="Y132" s="7" t="s">
        <v>62</v>
      </c>
    </row>
    <row r="133" spans="1:25" ht="50" customHeight="1" x14ac:dyDescent="0.25">
      <c r="A133" s="5" t="s">
        <v>700</v>
      </c>
      <c r="B133" s="5" t="s">
        <v>701</v>
      </c>
      <c r="C133" s="5" t="s">
        <v>702</v>
      </c>
      <c r="D133" s="5"/>
      <c r="E133" s="6" t="s">
        <v>703</v>
      </c>
      <c r="F133" s="6" t="s">
        <v>704</v>
      </c>
      <c r="G133" s="5" t="s">
        <v>704</v>
      </c>
      <c r="H133" s="7">
        <v>18</v>
      </c>
      <c r="I133" s="7">
        <v>26.49</v>
      </c>
      <c r="J133" s="7" t="s">
        <v>58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 t="s">
        <v>59</v>
      </c>
      <c r="V133" s="7" t="s">
        <v>60</v>
      </c>
      <c r="W133" s="7" t="s">
        <v>61</v>
      </c>
      <c r="X133" s="5" t="str">
        <f ca="1">IF(INDIRECT("W133")="Clássico","13%",IF(INDIRECT("W133")="Premium","17%","-"))</f>
        <v>13%</v>
      </c>
      <c r="Y133" s="7" t="s">
        <v>62</v>
      </c>
    </row>
    <row r="134" spans="1:25" ht="50" customHeight="1" x14ac:dyDescent="0.25">
      <c r="A134" s="5" t="s">
        <v>705</v>
      </c>
      <c r="B134" s="5" t="s">
        <v>706</v>
      </c>
      <c r="C134" s="5" t="s">
        <v>707</v>
      </c>
      <c r="D134" s="5"/>
      <c r="E134" s="6" t="s">
        <v>708</v>
      </c>
      <c r="F134" s="6" t="s">
        <v>709</v>
      </c>
      <c r="G134" s="5" t="s">
        <v>709</v>
      </c>
      <c r="H134" s="7">
        <v>4</v>
      </c>
      <c r="I134" s="7">
        <v>33.49</v>
      </c>
      <c r="J134" s="7" t="s">
        <v>58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 t="s">
        <v>59</v>
      </c>
      <c r="V134" s="7" t="s">
        <v>60</v>
      </c>
      <c r="W134" s="7" t="s">
        <v>61</v>
      </c>
      <c r="X134" s="5" t="str">
        <f ca="1">IF(INDIRECT("W134")="Clássico","13%",IF(INDIRECT("W134")="Premium","17%","-"))</f>
        <v>13%</v>
      </c>
      <c r="Y134" s="7" t="s">
        <v>62</v>
      </c>
    </row>
    <row r="135" spans="1:25" ht="50" customHeight="1" x14ac:dyDescent="0.25">
      <c r="A135" s="5" t="s">
        <v>710</v>
      </c>
      <c r="B135" s="5" t="s">
        <v>711</v>
      </c>
      <c r="C135" s="5" t="s">
        <v>712</v>
      </c>
      <c r="D135" s="5"/>
      <c r="E135" s="6" t="s">
        <v>713</v>
      </c>
      <c r="F135" s="6" t="s">
        <v>714</v>
      </c>
      <c r="G135" s="5" t="s">
        <v>714</v>
      </c>
      <c r="H135" s="7">
        <v>12</v>
      </c>
      <c r="I135" s="7">
        <v>26.49</v>
      </c>
      <c r="J135" s="7" t="s">
        <v>58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 t="s">
        <v>59</v>
      </c>
      <c r="V135" s="7" t="s">
        <v>60</v>
      </c>
      <c r="W135" s="7" t="s">
        <v>61</v>
      </c>
      <c r="X135" s="5" t="str">
        <f ca="1">IF(INDIRECT("W135")="Clássico","13%",IF(INDIRECT("W135")="Premium","17%","-"))</f>
        <v>13%</v>
      </c>
      <c r="Y135" s="7" t="s">
        <v>62</v>
      </c>
    </row>
    <row r="136" spans="1:25" ht="50" customHeight="1" x14ac:dyDescent="0.25">
      <c r="A136" s="5" t="s">
        <v>715</v>
      </c>
      <c r="B136" s="5" t="s">
        <v>716</v>
      </c>
      <c r="C136" s="5" t="s">
        <v>717</v>
      </c>
      <c r="D136" s="5"/>
      <c r="E136" s="6" t="s">
        <v>718</v>
      </c>
      <c r="F136" s="6" t="s">
        <v>719</v>
      </c>
      <c r="G136" s="5" t="s">
        <v>719</v>
      </c>
      <c r="H136" s="7">
        <v>33</v>
      </c>
      <c r="I136" s="7">
        <v>20.49</v>
      </c>
      <c r="J136" s="7" t="s">
        <v>58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 t="s">
        <v>59</v>
      </c>
      <c r="V136" s="7" t="s">
        <v>60</v>
      </c>
      <c r="W136" s="7" t="s">
        <v>61</v>
      </c>
      <c r="X136" s="5" t="str">
        <f ca="1">IF(INDIRECT("W136")="Clássico","13%",IF(INDIRECT("W136")="Premium","17%","-"))</f>
        <v>13%</v>
      </c>
      <c r="Y136" s="7" t="s">
        <v>62</v>
      </c>
    </row>
    <row r="137" spans="1:25" ht="50" customHeight="1" x14ac:dyDescent="0.25">
      <c r="A137" s="5" t="s">
        <v>720</v>
      </c>
      <c r="B137" s="5" t="s">
        <v>721</v>
      </c>
      <c r="C137" s="5" t="s">
        <v>722</v>
      </c>
      <c r="D137" s="5"/>
      <c r="E137" s="6" t="s">
        <v>723</v>
      </c>
      <c r="F137" s="6" t="s">
        <v>724</v>
      </c>
      <c r="G137" s="5" t="s">
        <v>724</v>
      </c>
      <c r="H137" s="7">
        <v>18</v>
      </c>
      <c r="I137" s="7">
        <v>87.49</v>
      </c>
      <c r="J137" s="7" t="s">
        <v>58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 t="s">
        <v>59</v>
      </c>
      <c r="V137" s="7" t="s">
        <v>129</v>
      </c>
      <c r="W137" s="7" t="s">
        <v>61</v>
      </c>
      <c r="X137" s="5" t="str">
        <f ca="1">IF(INDIRECT("W137")="Clássico","14%",IF(INDIRECT("W137")="Premium","19%","-"))</f>
        <v>14%</v>
      </c>
      <c r="Y137" s="7" t="s">
        <v>62</v>
      </c>
    </row>
    <row r="138" spans="1:25" ht="50" customHeight="1" x14ac:dyDescent="0.25">
      <c r="A138" s="5" t="s">
        <v>725</v>
      </c>
      <c r="B138" s="5" t="s">
        <v>726</v>
      </c>
      <c r="C138" s="5" t="s">
        <v>727</v>
      </c>
      <c r="D138" s="5"/>
      <c r="E138" s="6" t="s">
        <v>728</v>
      </c>
      <c r="F138" s="6" t="s">
        <v>729</v>
      </c>
      <c r="G138" s="5" t="s">
        <v>729</v>
      </c>
      <c r="H138" s="7">
        <v>6</v>
      </c>
      <c r="I138" s="7">
        <v>46.99</v>
      </c>
      <c r="J138" s="7" t="s">
        <v>58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5" t="s">
        <v>59</v>
      </c>
      <c r="V138" s="7" t="s">
        <v>60</v>
      </c>
      <c r="W138" s="7" t="s">
        <v>84</v>
      </c>
      <c r="X138" s="5" t="str">
        <f ca="1">IF(INDIRECT("W138")="Clássico","14%",IF(INDIRECT("W138")="Premium","19%","-"))</f>
        <v>19%</v>
      </c>
      <c r="Y138" s="7" t="s">
        <v>62</v>
      </c>
    </row>
    <row r="139" spans="1:25" ht="50" customHeight="1" x14ac:dyDescent="0.25">
      <c r="A139" s="5" t="s">
        <v>730</v>
      </c>
      <c r="B139" s="5" t="s">
        <v>731</v>
      </c>
      <c r="C139" s="5" t="s">
        <v>732</v>
      </c>
      <c r="D139" s="5"/>
      <c r="E139" s="6" t="s">
        <v>733</v>
      </c>
      <c r="F139" s="6" t="s">
        <v>734</v>
      </c>
      <c r="G139" s="5" t="s">
        <v>734</v>
      </c>
      <c r="H139" s="7">
        <v>10</v>
      </c>
      <c r="I139" s="7">
        <v>93.49</v>
      </c>
      <c r="J139" s="7" t="s">
        <v>58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 t="s">
        <v>59</v>
      </c>
      <c r="V139" s="7" t="s">
        <v>101</v>
      </c>
      <c r="W139" s="7" t="s">
        <v>61</v>
      </c>
      <c r="X139" s="5" t="str">
        <f ca="1">IF(INDIRECT("W139")="Clássico","13%",IF(INDIRECT("W139")="Premium","17%","-"))</f>
        <v>13%</v>
      </c>
      <c r="Y139" s="7" t="s">
        <v>62</v>
      </c>
    </row>
    <row r="140" spans="1:25" ht="50" customHeight="1" x14ac:dyDescent="0.25">
      <c r="A140" s="5" t="s">
        <v>735</v>
      </c>
      <c r="B140" s="5" t="s">
        <v>736</v>
      </c>
      <c r="C140" s="5" t="s">
        <v>737</v>
      </c>
      <c r="D140" s="5"/>
      <c r="E140" s="6" t="s">
        <v>738</v>
      </c>
      <c r="F140" s="6" t="s">
        <v>739</v>
      </c>
      <c r="G140" s="5" t="s">
        <v>739</v>
      </c>
      <c r="H140" s="7">
        <v>8</v>
      </c>
      <c r="I140" s="7">
        <v>26.49</v>
      </c>
      <c r="J140" s="7" t="s">
        <v>58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 t="s">
        <v>59</v>
      </c>
      <c r="V140" s="7" t="s">
        <v>60</v>
      </c>
      <c r="W140" s="7" t="s">
        <v>61</v>
      </c>
      <c r="X140" s="5" t="str">
        <f ca="1">IF(INDIRECT("W140")="Clássico","13%",IF(INDIRECT("W140")="Premium","17%","-"))</f>
        <v>13%</v>
      </c>
      <c r="Y140" s="7" t="s">
        <v>62</v>
      </c>
    </row>
    <row r="141" spans="1:25" ht="50" customHeight="1" x14ac:dyDescent="0.25">
      <c r="A141" s="5" t="s">
        <v>740</v>
      </c>
      <c r="B141" s="5" t="s">
        <v>741</v>
      </c>
      <c r="C141" s="5" t="s">
        <v>742</v>
      </c>
      <c r="D141" s="5"/>
      <c r="E141" s="6" t="s">
        <v>743</v>
      </c>
      <c r="F141" s="6" t="s">
        <v>744</v>
      </c>
      <c r="G141" s="5" t="s">
        <v>744</v>
      </c>
      <c r="H141" s="7">
        <v>4</v>
      </c>
      <c r="I141" s="7">
        <v>33.49</v>
      </c>
      <c r="J141" s="7" t="s">
        <v>58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 t="s">
        <v>59</v>
      </c>
      <c r="V141" s="7" t="s">
        <v>60</v>
      </c>
      <c r="W141" s="7" t="s">
        <v>61</v>
      </c>
      <c r="X141" s="5" t="str">
        <f ca="1">IF(INDIRECT("W141")="Clássico","13%",IF(INDIRECT("W141")="Premium","17%","-"))</f>
        <v>13%</v>
      </c>
      <c r="Y141" s="7" t="s">
        <v>62</v>
      </c>
    </row>
    <row r="142" spans="1:25" ht="50" customHeight="1" x14ac:dyDescent="0.25">
      <c r="A142" s="5" t="s">
        <v>745</v>
      </c>
      <c r="B142" s="5" t="s">
        <v>746</v>
      </c>
      <c r="C142" s="5" t="s">
        <v>747</v>
      </c>
      <c r="D142" s="5"/>
      <c r="E142" s="6" t="s">
        <v>748</v>
      </c>
      <c r="F142" s="6" t="s">
        <v>749</v>
      </c>
      <c r="G142" s="5" t="s">
        <v>749</v>
      </c>
      <c r="H142" s="7">
        <v>6</v>
      </c>
      <c r="I142" s="7">
        <v>47.99</v>
      </c>
      <c r="J142" s="7" t="s">
        <v>58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5" t="s">
        <v>59</v>
      </c>
      <c r="V142" s="7" t="s">
        <v>60</v>
      </c>
      <c r="W142" s="7" t="s">
        <v>61</v>
      </c>
      <c r="X142" s="5" t="str">
        <f ca="1">IF(INDIRECT("W142")="Clássico","14%",IF(INDIRECT("W142")="Premium","19%","-"))</f>
        <v>14%</v>
      </c>
      <c r="Y142" s="7" t="s">
        <v>62</v>
      </c>
    </row>
    <row r="143" spans="1:25" ht="50" customHeight="1" x14ac:dyDescent="0.25">
      <c r="A143" s="5" t="s">
        <v>750</v>
      </c>
      <c r="B143" s="5" t="s">
        <v>751</v>
      </c>
      <c r="C143" s="5" t="s">
        <v>752</v>
      </c>
      <c r="D143" s="5"/>
      <c r="E143" s="6" t="s">
        <v>753</v>
      </c>
      <c r="F143" s="6" t="s">
        <v>754</v>
      </c>
      <c r="G143" s="5" t="s">
        <v>755</v>
      </c>
      <c r="H143" s="7">
        <v>2</v>
      </c>
      <c r="I143" s="7">
        <v>47.49</v>
      </c>
      <c r="J143" s="7" t="s">
        <v>58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 t="s">
        <v>59</v>
      </c>
      <c r="V143" s="7" t="s">
        <v>60</v>
      </c>
      <c r="W143" s="7" t="s">
        <v>61</v>
      </c>
      <c r="X143" s="5" t="str">
        <f ca="1">IF(INDIRECT("W143")="Clássico","12%",IF(INDIRECT("W143")="Premium","17%","-"))</f>
        <v>12%</v>
      </c>
      <c r="Y143" s="7" t="s">
        <v>62</v>
      </c>
    </row>
    <row r="144" spans="1:25" ht="50" customHeight="1" x14ac:dyDescent="0.25">
      <c r="A144" s="5" t="s">
        <v>756</v>
      </c>
      <c r="B144" s="5" t="s">
        <v>757</v>
      </c>
      <c r="C144" s="5" t="s">
        <v>758</v>
      </c>
      <c r="D144" s="5"/>
      <c r="E144" s="6" t="s">
        <v>759</v>
      </c>
      <c r="F144" s="6" t="s">
        <v>760</v>
      </c>
      <c r="G144" s="5" t="s">
        <v>760</v>
      </c>
      <c r="H144" s="7">
        <v>4</v>
      </c>
      <c r="I144" s="7">
        <v>33.49</v>
      </c>
      <c r="J144" s="7" t="s">
        <v>58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 t="s">
        <v>59</v>
      </c>
      <c r="V144" s="7" t="s">
        <v>60</v>
      </c>
      <c r="W144" s="7" t="s">
        <v>61</v>
      </c>
      <c r="X144" s="5" t="str">
        <f ca="1">IF(INDIRECT("W144")="Clássico","13%",IF(INDIRECT("W144")="Premium","17%","-"))</f>
        <v>13%</v>
      </c>
      <c r="Y144" s="7" t="s">
        <v>62</v>
      </c>
    </row>
    <row r="145" spans="1:25" ht="50" customHeight="1" x14ac:dyDescent="0.25">
      <c r="A145" s="5" t="s">
        <v>761</v>
      </c>
      <c r="B145" s="5" t="s">
        <v>762</v>
      </c>
      <c r="C145" s="5" t="s">
        <v>763</v>
      </c>
      <c r="D145" s="5"/>
      <c r="E145" s="6" t="s">
        <v>764</v>
      </c>
      <c r="F145" s="6" t="s">
        <v>765</v>
      </c>
      <c r="G145" s="5" t="s">
        <v>765</v>
      </c>
      <c r="H145" s="7">
        <v>10</v>
      </c>
      <c r="I145" s="7">
        <v>24.49</v>
      </c>
      <c r="J145" s="7" t="s">
        <v>58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 t="s">
        <v>59</v>
      </c>
      <c r="V145" s="7" t="s">
        <v>60</v>
      </c>
      <c r="W145" s="7" t="s">
        <v>61</v>
      </c>
      <c r="X145" s="5" t="str">
        <f ca="1">IF(INDIRECT("W145")="Clássico","13%",IF(INDIRECT("W145")="Premium","17%","-"))</f>
        <v>13%</v>
      </c>
      <c r="Y145" s="7" t="s">
        <v>62</v>
      </c>
    </row>
    <row r="146" spans="1:25" ht="50" customHeight="1" x14ac:dyDescent="0.25">
      <c r="A146" s="5" t="s">
        <v>766</v>
      </c>
      <c r="B146" s="5" t="s">
        <v>767</v>
      </c>
      <c r="C146" s="5" t="s">
        <v>768</v>
      </c>
      <c r="D146" s="5"/>
      <c r="E146" s="6" t="s">
        <v>769</v>
      </c>
      <c r="F146" s="6" t="s">
        <v>770</v>
      </c>
      <c r="G146" s="5" t="s">
        <v>770</v>
      </c>
      <c r="H146" s="7">
        <v>12</v>
      </c>
      <c r="I146" s="7">
        <v>28.49</v>
      </c>
      <c r="J146" s="7" t="s">
        <v>58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 t="s">
        <v>59</v>
      </c>
      <c r="V146" s="7" t="s">
        <v>60</v>
      </c>
      <c r="W146" s="7" t="s">
        <v>61</v>
      </c>
      <c r="X146" s="5" t="str">
        <f ca="1">IF(INDIRECT("W146")="Clássico","13%",IF(INDIRECT("W146")="Premium","17%","-"))</f>
        <v>13%</v>
      </c>
      <c r="Y146" s="7" t="s">
        <v>62</v>
      </c>
    </row>
    <row r="147" spans="1:25" ht="50" customHeight="1" x14ac:dyDescent="0.25">
      <c r="A147" s="5" t="s">
        <v>771</v>
      </c>
      <c r="B147" s="5" t="s">
        <v>772</v>
      </c>
      <c r="C147" s="5" t="s">
        <v>773</v>
      </c>
      <c r="D147" s="5"/>
      <c r="E147" s="6" t="s">
        <v>774</v>
      </c>
      <c r="F147" s="6" t="s">
        <v>775</v>
      </c>
      <c r="G147" s="5" t="s">
        <v>775</v>
      </c>
      <c r="H147" s="7">
        <v>24</v>
      </c>
      <c r="I147" s="7">
        <v>24.49</v>
      </c>
      <c r="J147" s="7" t="s">
        <v>58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 t="s">
        <v>59</v>
      </c>
      <c r="V147" s="7" t="s">
        <v>60</v>
      </c>
      <c r="W147" s="7" t="s">
        <v>61</v>
      </c>
      <c r="X147" s="5" t="str">
        <f ca="1">IF(INDIRECT("W147")="Clássico","13%",IF(INDIRECT("W147")="Premium","17%","-"))</f>
        <v>13%</v>
      </c>
      <c r="Y147" s="7" t="s">
        <v>62</v>
      </c>
    </row>
    <row r="148" spans="1:25" ht="50" customHeight="1" x14ac:dyDescent="0.25">
      <c r="A148" s="5" t="s">
        <v>776</v>
      </c>
      <c r="B148" s="5" t="s">
        <v>777</v>
      </c>
      <c r="C148" s="5" t="s">
        <v>778</v>
      </c>
      <c r="D148" s="5"/>
      <c r="E148" s="6" t="s">
        <v>779</v>
      </c>
      <c r="F148" s="6" t="s">
        <v>780</v>
      </c>
      <c r="G148" s="5" t="s">
        <v>780</v>
      </c>
      <c r="H148" s="7">
        <v>30</v>
      </c>
      <c r="I148" s="7">
        <v>289.89999999999998</v>
      </c>
      <c r="J148" s="7" t="s">
        <v>58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 t="s">
        <v>59</v>
      </c>
      <c r="V148" s="7" t="s">
        <v>129</v>
      </c>
      <c r="W148" s="7" t="s">
        <v>84</v>
      </c>
      <c r="X148" s="5" t="str">
        <f ca="1">IF(INDIRECT("W148")="Clássico","12%",IF(INDIRECT("W148")="Premium","15%","-"))</f>
        <v>15%</v>
      </c>
      <c r="Y148" s="7" t="s">
        <v>62</v>
      </c>
    </row>
    <row r="149" spans="1:25" ht="50" customHeight="1" x14ac:dyDescent="0.25">
      <c r="A149" s="5" t="s">
        <v>781</v>
      </c>
      <c r="B149" s="5" t="s">
        <v>782</v>
      </c>
      <c r="C149" s="5" t="s">
        <v>783</v>
      </c>
      <c r="D149" s="5"/>
      <c r="E149" s="6" t="s">
        <v>784</v>
      </c>
      <c r="F149" s="6" t="s">
        <v>785</v>
      </c>
      <c r="G149" s="5" t="s">
        <v>785</v>
      </c>
      <c r="H149" s="7">
        <v>12</v>
      </c>
      <c r="I149" s="7">
        <v>26.49</v>
      </c>
      <c r="J149" s="7" t="s">
        <v>58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 t="s">
        <v>59</v>
      </c>
      <c r="V149" s="7" t="s">
        <v>101</v>
      </c>
      <c r="W149" s="7" t="s">
        <v>61</v>
      </c>
      <c r="X149" s="5" t="str">
        <f ca="1">IF(INDIRECT("W149")="Clássico","13%",IF(INDIRECT("W149")="Premium","17%","-"))</f>
        <v>13%</v>
      </c>
      <c r="Y149" s="7" t="s">
        <v>62</v>
      </c>
    </row>
    <row r="150" spans="1:25" ht="50" customHeight="1" x14ac:dyDescent="0.25">
      <c r="A150" s="5" t="s">
        <v>786</v>
      </c>
      <c r="B150" s="5" t="s">
        <v>787</v>
      </c>
      <c r="C150" s="5" t="s">
        <v>788</v>
      </c>
      <c r="D150" s="5"/>
      <c r="E150" s="6" t="s">
        <v>789</v>
      </c>
      <c r="F150" s="6" t="s">
        <v>790</v>
      </c>
      <c r="G150" s="5" t="s">
        <v>790</v>
      </c>
      <c r="H150" s="7">
        <v>35</v>
      </c>
      <c r="I150" s="7">
        <v>26.49</v>
      </c>
      <c r="J150" s="7" t="s">
        <v>58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 t="s">
        <v>59</v>
      </c>
      <c r="V150" s="7" t="s">
        <v>60</v>
      </c>
      <c r="W150" s="7" t="s">
        <v>61</v>
      </c>
      <c r="X150" s="5" t="str">
        <f ca="1">IF(INDIRECT("W150")="Clássico","13%",IF(INDIRECT("W150")="Premium","17%","-"))</f>
        <v>13%</v>
      </c>
      <c r="Y150" s="7" t="s">
        <v>62</v>
      </c>
    </row>
    <row r="151" spans="1:25" ht="50" customHeight="1" x14ac:dyDescent="0.25">
      <c r="A151" s="5" t="s">
        <v>791</v>
      </c>
      <c r="B151" s="5" t="s">
        <v>792</v>
      </c>
      <c r="C151" s="5" t="s">
        <v>793</v>
      </c>
      <c r="D151" s="5"/>
      <c r="E151" s="6" t="s">
        <v>794</v>
      </c>
      <c r="F151" s="6" t="s">
        <v>795</v>
      </c>
      <c r="G151" s="5" t="s">
        <v>795</v>
      </c>
      <c r="H151" s="7">
        <v>12</v>
      </c>
      <c r="I151" s="7">
        <v>26.49</v>
      </c>
      <c r="J151" s="7" t="s">
        <v>58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 t="s">
        <v>59</v>
      </c>
      <c r="V151" s="7" t="s">
        <v>101</v>
      </c>
      <c r="W151" s="7" t="s">
        <v>61</v>
      </c>
      <c r="X151" s="5" t="str">
        <f ca="1">IF(INDIRECT("W151")="Clássico","13%",IF(INDIRECT("W151")="Premium","17%","-"))</f>
        <v>13%</v>
      </c>
      <c r="Y151" s="7" t="s">
        <v>62</v>
      </c>
    </row>
    <row r="152" spans="1:25" ht="50" customHeight="1" x14ac:dyDescent="0.25">
      <c r="A152" s="5" t="s">
        <v>796</v>
      </c>
      <c r="B152" s="5" t="s">
        <v>797</v>
      </c>
      <c r="C152" s="5" t="s">
        <v>798</v>
      </c>
      <c r="D152" s="5"/>
      <c r="E152" s="6" t="s">
        <v>799</v>
      </c>
      <c r="F152" s="6" t="s">
        <v>800</v>
      </c>
      <c r="G152" s="5" t="s">
        <v>800</v>
      </c>
      <c r="H152" s="7">
        <v>10</v>
      </c>
      <c r="I152" s="7">
        <v>20.49</v>
      </c>
      <c r="J152" s="7" t="s">
        <v>58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 t="s">
        <v>59</v>
      </c>
      <c r="V152" s="7" t="s">
        <v>60</v>
      </c>
      <c r="W152" s="7" t="s">
        <v>61</v>
      </c>
      <c r="X152" s="5" t="str">
        <f ca="1">IF(INDIRECT("W152")="Clássico","13%",IF(INDIRECT("W152")="Premium","17%","-"))</f>
        <v>13%</v>
      </c>
      <c r="Y152" s="7" t="s">
        <v>62</v>
      </c>
    </row>
    <row r="153" spans="1:25" ht="50" customHeight="1" x14ac:dyDescent="0.25">
      <c r="A153" s="5" t="s">
        <v>801</v>
      </c>
      <c r="B153" s="5" t="s">
        <v>802</v>
      </c>
      <c r="C153" s="5" t="s">
        <v>803</v>
      </c>
      <c r="D153" s="5"/>
      <c r="E153" s="6" t="s">
        <v>804</v>
      </c>
      <c r="F153" s="6" t="s">
        <v>805</v>
      </c>
      <c r="G153" s="5" t="s">
        <v>805</v>
      </c>
      <c r="H153" s="7">
        <v>6</v>
      </c>
      <c r="I153" s="7">
        <v>30.49</v>
      </c>
      <c r="J153" s="7" t="s">
        <v>58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 t="s">
        <v>59</v>
      </c>
      <c r="V153" s="7" t="s">
        <v>60</v>
      </c>
      <c r="W153" s="7" t="s">
        <v>61</v>
      </c>
      <c r="X153" s="5" t="str">
        <f ca="1">IF(INDIRECT("W153")="Clássico","13%",IF(INDIRECT("W153")="Premium","17%","-"))</f>
        <v>13%</v>
      </c>
      <c r="Y153" s="7" t="s">
        <v>62</v>
      </c>
    </row>
    <row r="154" spans="1:25" ht="50" customHeight="1" x14ac:dyDescent="0.25">
      <c r="A154" s="5" t="s">
        <v>806</v>
      </c>
      <c r="B154" s="5" t="s">
        <v>807</v>
      </c>
      <c r="C154" s="5" t="s">
        <v>808</v>
      </c>
      <c r="D154" s="5"/>
      <c r="E154" s="6" t="s">
        <v>809</v>
      </c>
      <c r="F154" s="6" t="s">
        <v>810</v>
      </c>
      <c r="G154" s="5" t="s">
        <v>810</v>
      </c>
      <c r="H154" s="7">
        <v>12</v>
      </c>
      <c r="I154" s="7">
        <v>26.49</v>
      </c>
      <c r="J154" s="7" t="s">
        <v>58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 t="s">
        <v>59</v>
      </c>
      <c r="V154" s="7" t="s">
        <v>101</v>
      </c>
      <c r="W154" s="7" t="s">
        <v>61</v>
      </c>
      <c r="X154" s="5" t="str">
        <f ca="1">IF(INDIRECT("W154")="Clássico","13%",IF(INDIRECT("W154")="Premium","17%","-"))</f>
        <v>13%</v>
      </c>
      <c r="Y154" s="7" t="s">
        <v>62</v>
      </c>
    </row>
    <row r="155" spans="1:25" ht="50" customHeight="1" x14ac:dyDescent="0.25">
      <c r="A155" s="5" t="s">
        <v>811</v>
      </c>
      <c r="B155" s="5" t="s">
        <v>812</v>
      </c>
      <c r="C155" s="5" t="s">
        <v>813</v>
      </c>
      <c r="D155" s="5"/>
      <c r="E155" s="6" t="s">
        <v>814</v>
      </c>
      <c r="F155" s="6" t="s">
        <v>815</v>
      </c>
      <c r="G155" s="5" t="s">
        <v>815</v>
      </c>
      <c r="H155" s="7">
        <v>5</v>
      </c>
      <c r="I155" s="7">
        <v>26.49</v>
      </c>
      <c r="J155" s="7" t="s">
        <v>58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 t="s">
        <v>59</v>
      </c>
      <c r="V155" s="7" t="s">
        <v>60</v>
      </c>
      <c r="W155" s="7" t="s">
        <v>61</v>
      </c>
      <c r="X155" s="5" t="str">
        <f ca="1">IF(INDIRECT("W155")="Clássico","13%",IF(INDIRECT("W155")="Premium","17%","-"))</f>
        <v>13%</v>
      </c>
      <c r="Y155" s="7" t="s">
        <v>62</v>
      </c>
    </row>
    <row r="156" spans="1:25" ht="50" customHeight="1" x14ac:dyDescent="0.25">
      <c r="A156" s="5" t="s">
        <v>816</v>
      </c>
      <c r="B156" s="5" t="s">
        <v>817</v>
      </c>
      <c r="C156" s="5" t="s">
        <v>818</v>
      </c>
      <c r="D156" s="5"/>
      <c r="E156" s="6" t="s">
        <v>819</v>
      </c>
      <c r="F156" s="6" t="s">
        <v>820</v>
      </c>
      <c r="G156" s="5" t="s">
        <v>820</v>
      </c>
      <c r="H156" s="7">
        <v>12</v>
      </c>
      <c r="I156" s="7">
        <v>30.49</v>
      </c>
      <c r="J156" s="7" t="s">
        <v>58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 t="s">
        <v>59</v>
      </c>
      <c r="V156" s="7" t="s">
        <v>101</v>
      </c>
      <c r="W156" s="7" t="s">
        <v>61</v>
      </c>
      <c r="X156" s="5" t="str">
        <f ca="1">IF(INDIRECT("W156")="Clássico","13%",IF(INDIRECT("W156")="Premium","17%","-"))</f>
        <v>13%</v>
      </c>
      <c r="Y156" s="7" t="s">
        <v>62</v>
      </c>
    </row>
    <row r="157" spans="1:25" ht="50" customHeight="1" x14ac:dyDescent="0.25">
      <c r="A157" s="5" t="s">
        <v>821</v>
      </c>
      <c r="B157" s="5" t="s">
        <v>822</v>
      </c>
      <c r="C157" s="5" t="s">
        <v>823</v>
      </c>
      <c r="D157" s="5"/>
      <c r="E157" s="6" t="s">
        <v>824</v>
      </c>
      <c r="F157" s="6" t="s">
        <v>825</v>
      </c>
      <c r="G157" s="5" t="s">
        <v>825</v>
      </c>
      <c r="H157" s="7">
        <v>12</v>
      </c>
      <c r="I157" s="7">
        <v>30.49</v>
      </c>
      <c r="J157" s="7" t="s">
        <v>58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 t="s">
        <v>59</v>
      </c>
      <c r="V157" s="7" t="s">
        <v>101</v>
      </c>
      <c r="W157" s="7" t="s">
        <v>61</v>
      </c>
      <c r="X157" s="5" t="str">
        <f ca="1">IF(INDIRECT("W157")="Clássico","13%",IF(INDIRECT("W157")="Premium","17%","-"))</f>
        <v>13%</v>
      </c>
      <c r="Y157" s="7" t="s">
        <v>62</v>
      </c>
    </row>
    <row r="158" spans="1:25" ht="50" customHeight="1" x14ac:dyDescent="0.25">
      <c r="A158" s="5" t="s">
        <v>826</v>
      </c>
      <c r="B158" s="5" t="s">
        <v>827</v>
      </c>
      <c r="C158" s="5" t="s">
        <v>828</v>
      </c>
      <c r="D158" s="5"/>
      <c r="E158" s="6" t="s">
        <v>829</v>
      </c>
      <c r="F158" s="6" t="s">
        <v>830</v>
      </c>
      <c r="G158" s="5" t="s">
        <v>830</v>
      </c>
      <c r="H158" s="7">
        <v>2</v>
      </c>
      <c r="I158" s="7">
        <v>39.49</v>
      </c>
      <c r="J158" s="7" t="s">
        <v>58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 t="s">
        <v>59</v>
      </c>
      <c r="V158" s="7" t="s">
        <v>60</v>
      </c>
      <c r="W158" s="7" t="s">
        <v>61</v>
      </c>
      <c r="X158" s="5" t="str">
        <f ca="1">IF(INDIRECT("W158")="Clássico","13%",IF(INDIRECT("W158")="Premium","17%","-"))</f>
        <v>13%</v>
      </c>
      <c r="Y158" s="7" t="s">
        <v>62</v>
      </c>
    </row>
    <row r="159" spans="1:25" ht="50" customHeight="1" x14ac:dyDescent="0.25">
      <c r="A159" s="5" t="s">
        <v>831</v>
      </c>
      <c r="B159" s="5" t="s">
        <v>832</v>
      </c>
      <c r="C159" s="5" t="s">
        <v>833</v>
      </c>
      <c r="D159" s="5"/>
      <c r="E159" s="6" t="s">
        <v>834</v>
      </c>
      <c r="F159" s="6" t="s">
        <v>835</v>
      </c>
      <c r="G159" s="5" t="s">
        <v>835</v>
      </c>
      <c r="H159" s="7">
        <v>64</v>
      </c>
      <c r="I159" s="7">
        <v>28.49</v>
      </c>
      <c r="J159" s="7" t="s">
        <v>58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 t="s">
        <v>59</v>
      </c>
      <c r="V159" s="7" t="s">
        <v>60</v>
      </c>
      <c r="W159" s="7" t="s">
        <v>61</v>
      </c>
      <c r="X159" s="5" t="str">
        <f ca="1">IF(INDIRECT("W159")="Clássico","13%",IF(INDIRECT("W159")="Premium","17%","-"))</f>
        <v>13%</v>
      </c>
      <c r="Y159" s="7" t="s">
        <v>62</v>
      </c>
    </row>
    <row r="160" spans="1:25" ht="50" customHeight="1" x14ac:dyDescent="0.25">
      <c r="A160" s="5" t="s">
        <v>836</v>
      </c>
      <c r="B160" s="5" t="s">
        <v>837</v>
      </c>
      <c r="C160" s="5" t="s">
        <v>838</v>
      </c>
      <c r="D160" s="5"/>
      <c r="E160" s="6" t="s">
        <v>839</v>
      </c>
      <c r="F160" s="6" t="s">
        <v>840</v>
      </c>
      <c r="G160" s="5" t="s">
        <v>840</v>
      </c>
      <c r="H160" s="7">
        <v>12</v>
      </c>
      <c r="I160" s="7">
        <v>28.49</v>
      </c>
      <c r="J160" s="7" t="s">
        <v>58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 t="s">
        <v>59</v>
      </c>
      <c r="V160" s="7" t="s">
        <v>60</v>
      </c>
      <c r="W160" s="7" t="s">
        <v>61</v>
      </c>
      <c r="X160" s="5" t="str">
        <f ca="1">IF(INDIRECT("W160")="Clássico","13%",IF(INDIRECT("W160")="Premium","17%","-"))</f>
        <v>13%</v>
      </c>
      <c r="Y160" s="7" t="s">
        <v>62</v>
      </c>
    </row>
    <row r="161" spans="1:25" ht="50" customHeight="1" x14ac:dyDescent="0.25">
      <c r="A161" s="5" t="s">
        <v>841</v>
      </c>
      <c r="B161" s="5" t="s">
        <v>842</v>
      </c>
      <c r="C161" s="5" t="s">
        <v>843</v>
      </c>
      <c r="D161" s="5"/>
      <c r="E161" s="6" t="s">
        <v>844</v>
      </c>
      <c r="F161" s="6" t="s">
        <v>845</v>
      </c>
      <c r="G161" s="5" t="s">
        <v>845</v>
      </c>
      <c r="H161" s="7">
        <v>12</v>
      </c>
      <c r="I161" s="7">
        <v>28.49</v>
      </c>
      <c r="J161" s="7" t="s">
        <v>58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 t="s">
        <v>59</v>
      </c>
      <c r="V161" s="7" t="s">
        <v>60</v>
      </c>
      <c r="W161" s="7" t="s">
        <v>61</v>
      </c>
      <c r="X161" s="5" t="str">
        <f ca="1">IF(INDIRECT("W161")="Clássico","13%",IF(INDIRECT("W161")="Premium","17%","-"))</f>
        <v>13%</v>
      </c>
      <c r="Y161" s="7" t="s">
        <v>62</v>
      </c>
    </row>
    <row r="162" spans="1:25" ht="50" customHeight="1" x14ac:dyDescent="0.25">
      <c r="A162" s="5" t="s">
        <v>846</v>
      </c>
      <c r="B162" s="5" t="s">
        <v>847</v>
      </c>
      <c r="C162" s="5" t="s">
        <v>848</v>
      </c>
      <c r="D162" s="5"/>
      <c r="E162" s="6" t="s">
        <v>849</v>
      </c>
      <c r="F162" s="6" t="s">
        <v>850</v>
      </c>
      <c r="G162" s="5" t="s">
        <v>850</v>
      </c>
      <c r="H162" s="7">
        <v>12</v>
      </c>
      <c r="I162" s="7">
        <v>28.49</v>
      </c>
      <c r="J162" s="7" t="s">
        <v>58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 t="s">
        <v>59</v>
      </c>
      <c r="V162" s="7" t="s">
        <v>60</v>
      </c>
      <c r="W162" s="7" t="s">
        <v>61</v>
      </c>
      <c r="X162" s="5" t="str">
        <f ca="1">IF(INDIRECT("W162")="Clássico","13%",IF(INDIRECT("W162")="Premium","17%","-"))</f>
        <v>13%</v>
      </c>
      <c r="Y162" s="7" t="s">
        <v>62</v>
      </c>
    </row>
    <row r="163" spans="1:25" ht="50" customHeight="1" x14ac:dyDescent="0.25">
      <c r="A163" s="5" t="s">
        <v>851</v>
      </c>
      <c r="B163" s="5" t="s">
        <v>852</v>
      </c>
      <c r="C163" s="5" t="s">
        <v>853</v>
      </c>
      <c r="D163" s="5"/>
      <c r="E163" s="6" t="s">
        <v>854</v>
      </c>
      <c r="F163" s="6" t="s">
        <v>855</v>
      </c>
      <c r="G163" s="5" t="s">
        <v>855</v>
      </c>
      <c r="H163" s="7">
        <v>3</v>
      </c>
      <c r="I163" s="7">
        <v>33.49</v>
      </c>
      <c r="J163" s="7" t="s">
        <v>58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 t="s">
        <v>59</v>
      </c>
      <c r="V163" s="7" t="s">
        <v>60</v>
      </c>
      <c r="W163" s="7" t="s">
        <v>61</v>
      </c>
      <c r="X163" s="5" t="str">
        <f ca="1">IF(INDIRECT("W163")="Clássico","13%",IF(INDIRECT("W163")="Premium","17%","-"))</f>
        <v>13%</v>
      </c>
      <c r="Y163" s="7" t="s">
        <v>62</v>
      </c>
    </row>
    <row r="164" spans="1:25" ht="50" customHeight="1" x14ac:dyDescent="0.25">
      <c r="A164" s="5" t="s">
        <v>73</v>
      </c>
      <c r="B164" s="5" t="s">
        <v>856</v>
      </c>
      <c r="C164" s="5" t="s">
        <v>75</v>
      </c>
      <c r="D164" s="5"/>
      <c r="E164" s="6" t="s">
        <v>76</v>
      </c>
      <c r="F164" s="6" t="s">
        <v>857</v>
      </c>
      <c r="G164" s="5" t="s">
        <v>857</v>
      </c>
      <c r="H164" s="7">
        <v>19</v>
      </c>
      <c r="I164" s="7">
        <v>22.49</v>
      </c>
      <c r="J164" s="7" t="s">
        <v>58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 t="s">
        <v>59</v>
      </c>
      <c r="V164" s="7" t="s">
        <v>60</v>
      </c>
      <c r="W164" s="7" t="s">
        <v>61</v>
      </c>
      <c r="X164" s="5" t="str">
        <f ca="1">IF(INDIRECT("W164")="Clássico","13%",IF(INDIRECT("W164")="Premium","17%","-"))</f>
        <v>13%</v>
      </c>
      <c r="Y164" s="7" t="s">
        <v>62</v>
      </c>
    </row>
    <row r="165" spans="1:25" ht="50" customHeight="1" x14ac:dyDescent="0.25">
      <c r="A165" s="5" t="s">
        <v>858</v>
      </c>
      <c r="B165" s="5" t="s">
        <v>859</v>
      </c>
      <c r="C165" s="5" t="s">
        <v>860</v>
      </c>
      <c r="D165" s="5"/>
      <c r="E165" s="6" t="s">
        <v>861</v>
      </c>
      <c r="F165" s="6" t="s">
        <v>862</v>
      </c>
      <c r="G165" s="5" t="s">
        <v>862</v>
      </c>
      <c r="H165" s="7">
        <v>6</v>
      </c>
      <c r="I165" s="7">
        <v>28.49</v>
      </c>
      <c r="J165" s="7" t="s">
        <v>58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 t="s">
        <v>59</v>
      </c>
      <c r="V165" s="7" t="s">
        <v>60</v>
      </c>
      <c r="W165" s="7" t="s">
        <v>61</v>
      </c>
      <c r="X165" s="5" t="str">
        <f ca="1">IF(INDIRECT("W165")="Clássico","13%",IF(INDIRECT("W165")="Premium","17%","-"))</f>
        <v>13%</v>
      </c>
      <c r="Y165" s="7" t="s">
        <v>62</v>
      </c>
    </row>
    <row r="166" spans="1:25" ht="50" customHeight="1" x14ac:dyDescent="0.25">
      <c r="A166" s="5" t="s">
        <v>863</v>
      </c>
      <c r="B166" s="5" t="s">
        <v>864</v>
      </c>
      <c r="C166" s="5" t="s">
        <v>865</v>
      </c>
      <c r="D166" s="5"/>
      <c r="E166" s="6" t="s">
        <v>866</v>
      </c>
      <c r="F166" s="6" t="s">
        <v>867</v>
      </c>
      <c r="G166" s="5" t="s">
        <v>867</v>
      </c>
      <c r="H166" s="7">
        <v>6</v>
      </c>
      <c r="I166" s="7">
        <v>39.49</v>
      </c>
      <c r="J166" s="7" t="s">
        <v>58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 t="s">
        <v>59</v>
      </c>
      <c r="V166" s="7" t="s">
        <v>60</v>
      </c>
      <c r="W166" s="7" t="s">
        <v>61</v>
      </c>
      <c r="X166" s="5" t="str">
        <f ca="1">IF(INDIRECT("W166")="Clássico","13%",IF(INDIRECT("W166")="Premium","17%","-"))</f>
        <v>13%</v>
      </c>
      <c r="Y166" s="7" t="s">
        <v>62</v>
      </c>
    </row>
    <row r="167" spans="1:25" ht="50" customHeight="1" x14ac:dyDescent="0.25">
      <c r="A167" s="5" t="s">
        <v>868</v>
      </c>
      <c r="B167" s="5" t="s">
        <v>869</v>
      </c>
      <c r="C167" s="5" t="s">
        <v>870</v>
      </c>
      <c r="D167" s="5"/>
      <c r="E167" s="6" t="s">
        <v>871</v>
      </c>
      <c r="F167" s="6" t="s">
        <v>872</v>
      </c>
      <c r="G167" s="5" t="s">
        <v>872</v>
      </c>
      <c r="H167" s="7">
        <v>9</v>
      </c>
      <c r="I167" s="7">
        <v>30.49</v>
      </c>
      <c r="J167" s="7" t="s">
        <v>58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 t="s">
        <v>59</v>
      </c>
      <c r="V167" s="7" t="s">
        <v>101</v>
      </c>
      <c r="W167" s="7" t="s">
        <v>61</v>
      </c>
      <c r="X167" s="5" t="str">
        <f ca="1">IF(INDIRECT("W167")="Clássico","13%",IF(INDIRECT("W167")="Premium","17%","-"))</f>
        <v>13%</v>
      </c>
      <c r="Y167" s="7" t="s">
        <v>62</v>
      </c>
    </row>
    <row r="168" spans="1:25" ht="50" customHeight="1" x14ac:dyDescent="0.25">
      <c r="A168" s="5" t="s">
        <v>873</v>
      </c>
      <c r="B168" s="5" t="s">
        <v>874</v>
      </c>
      <c r="C168" s="5" t="s">
        <v>875</v>
      </c>
      <c r="D168" s="5"/>
      <c r="E168" s="6" t="s">
        <v>876</v>
      </c>
      <c r="F168" s="6" t="s">
        <v>877</v>
      </c>
      <c r="G168" s="5" t="s">
        <v>877</v>
      </c>
      <c r="H168" s="7">
        <v>2</v>
      </c>
      <c r="I168" s="7">
        <v>39.49</v>
      </c>
      <c r="J168" s="7" t="s">
        <v>58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 t="s">
        <v>59</v>
      </c>
      <c r="V168" s="7" t="s">
        <v>60</v>
      </c>
      <c r="W168" s="7" t="s">
        <v>61</v>
      </c>
      <c r="X168" s="5" t="str">
        <f ca="1">IF(INDIRECT("W168")="Clássico","13%",IF(INDIRECT("W168")="Premium","17%","-"))</f>
        <v>13%</v>
      </c>
      <c r="Y168" s="7" t="s">
        <v>62</v>
      </c>
    </row>
    <row r="169" spans="1:25" ht="50" customHeight="1" x14ac:dyDescent="0.25">
      <c r="A169" s="5" t="s">
        <v>878</v>
      </c>
      <c r="B169" s="5" t="s">
        <v>879</v>
      </c>
      <c r="C169" s="5" t="s">
        <v>880</v>
      </c>
      <c r="D169" s="5"/>
      <c r="E169" s="6" t="s">
        <v>881</v>
      </c>
      <c r="F169" s="6" t="s">
        <v>882</v>
      </c>
      <c r="G169" s="5" t="s">
        <v>882</v>
      </c>
      <c r="H169" s="7">
        <v>12</v>
      </c>
      <c r="I169" s="7">
        <v>30.49</v>
      </c>
      <c r="J169" s="7" t="s">
        <v>58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 t="s">
        <v>59</v>
      </c>
      <c r="V169" s="7" t="s">
        <v>101</v>
      </c>
      <c r="W169" s="7" t="s">
        <v>61</v>
      </c>
      <c r="X169" s="5" t="str">
        <f ca="1">IF(INDIRECT("W169")="Clássico","13%",IF(INDIRECT("W169")="Premium","17%","-"))</f>
        <v>13%</v>
      </c>
      <c r="Y169" s="7" t="s">
        <v>62</v>
      </c>
    </row>
    <row r="170" spans="1:25" ht="50" customHeight="1" x14ac:dyDescent="0.25">
      <c r="A170" s="5" t="s">
        <v>883</v>
      </c>
      <c r="B170" s="5" t="s">
        <v>884</v>
      </c>
      <c r="C170" s="5" t="s">
        <v>885</v>
      </c>
      <c r="D170" s="5"/>
      <c r="E170" s="6" t="s">
        <v>886</v>
      </c>
      <c r="F170" s="6" t="s">
        <v>887</v>
      </c>
      <c r="G170" s="5" t="s">
        <v>887</v>
      </c>
      <c r="H170" s="7">
        <v>4</v>
      </c>
      <c r="I170" s="7">
        <v>33.49</v>
      </c>
      <c r="J170" s="7" t="s">
        <v>58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 t="s">
        <v>59</v>
      </c>
      <c r="V170" s="7" t="s">
        <v>60</v>
      </c>
      <c r="W170" s="7" t="s">
        <v>61</v>
      </c>
      <c r="X170" s="5" t="str">
        <f ca="1">IF(INDIRECT("W170")="Clássico","13%",IF(INDIRECT("W170")="Premium","17%","-"))</f>
        <v>13%</v>
      </c>
      <c r="Y170" s="7" t="s">
        <v>62</v>
      </c>
    </row>
    <row r="171" spans="1:25" ht="50" customHeight="1" x14ac:dyDescent="0.25">
      <c r="A171" s="5" t="s">
        <v>888</v>
      </c>
      <c r="B171" s="5" t="s">
        <v>889</v>
      </c>
      <c r="C171" s="5" t="s">
        <v>890</v>
      </c>
      <c r="D171" s="5"/>
      <c r="E171" s="6" t="s">
        <v>891</v>
      </c>
      <c r="F171" s="6" t="s">
        <v>892</v>
      </c>
      <c r="G171" s="5" t="s">
        <v>892</v>
      </c>
      <c r="H171" s="7">
        <v>2</v>
      </c>
      <c r="I171" s="7">
        <v>39.49</v>
      </c>
      <c r="J171" s="7" t="s">
        <v>58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 t="s">
        <v>59</v>
      </c>
      <c r="V171" s="7" t="s">
        <v>60</v>
      </c>
      <c r="W171" s="7" t="s">
        <v>61</v>
      </c>
      <c r="X171" s="5" t="str">
        <f ca="1">IF(INDIRECT("W171")="Clássico","13%",IF(INDIRECT("W171")="Premium","17%","-"))</f>
        <v>13%</v>
      </c>
      <c r="Y171" s="7" t="s">
        <v>62</v>
      </c>
    </row>
    <row r="172" spans="1:25" ht="50" customHeight="1" x14ac:dyDescent="0.25">
      <c r="A172" s="5" t="s">
        <v>893</v>
      </c>
      <c r="B172" s="5" t="s">
        <v>894</v>
      </c>
      <c r="C172" s="5" t="s">
        <v>895</v>
      </c>
      <c r="D172" s="5"/>
      <c r="E172" s="6" t="s">
        <v>896</v>
      </c>
      <c r="F172" s="6" t="s">
        <v>897</v>
      </c>
      <c r="G172" s="5" t="s">
        <v>897</v>
      </c>
      <c r="H172" s="7">
        <v>12</v>
      </c>
      <c r="I172" s="7">
        <v>28.49</v>
      </c>
      <c r="J172" s="7" t="s">
        <v>58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 t="s">
        <v>59</v>
      </c>
      <c r="V172" s="7" t="s">
        <v>60</v>
      </c>
      <c r="W172" s="7" t="s">
        <v>61</v>
      </c>
      <c r="X172" s="5" t="str">
        <f ca="1">IF(INDIRECT("W172")="Clássico","13%",IF(INDIRECT("W172")="Premium","17%","-"))</f>
        <v>13%</v>
      </c>
      <c r="Y172" s="7" t="s">
        <v>62</v>
      </c>
    </row>
    <row r="173" spans="1:25" ht="50" customHeight="1" x14ac:dyDescent="0.25">
      <c r="A173" s="5" t="s">
        <v>187</v>
      </c>
      <c r="B173" s="5" t="s">
        <v>898</v>
      </c>
      <c r="C173" s="5" t="s">
        <v>189</v>
      </c>
      <c r="D173" s="5"/>
      <c r="E173" s="6" t="s">
        <v>190</v>
      </c>
      <c r="F173" s="6" t="s">
        <v>899</v>
      </c>
      <c r="G173" s="5" t="s">
        <v>899</v>
      </c>
      <c r="H173" s="7">
        <v>23</v>
      </c>
      <c r="I173" s="7">
        <v>30.49</v>
      </c>
      <c r="J173" s="7" t="s">
        <v>58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 t="s">
        <v>59</v>
      </c>
      <c r="V173" s="7" t="s">
        <v>60</v>
      </c>
      <c r="W173" s="7" t="s">
        <v>61</v>
      </c>
      <c r="X173" s="5" t="str">
        <f ca="1">IF(INDIRECT("W173")="Clássico","13%",IF(INDIRECT("W173")="Premium","17%","-"))</f>
        <v>13%</v>
      </c>
      <c r="Y173" s="7" t="s">
        <v>62</v>
      </c>
    </row>
    <row r="174" spans="1:25" ht="50" customHeight="1" x14ac:dyDescent="0.25">
      <c r="A174" s="5" t="s">
        <v>900</v>
      </c>
      <c r="B174" s="5" t="s">
        <v>901</v>
      </c>
      <c r="C174" s="5" t="s">
        <v>902</v>
      </c>
      <c r="D174" s="5"/>
      <c r="E174" s="6" t="s">
        <v>903</v>
      </c>
      <c r="F174" s="6" t="s">
        <v>904</v>
      </c>
      <c r="G174" s="5" t="s">
        <v>904</v>
      </c>
      <c r="H174" s="7">
        <v>16</v>
      </c>
      <c r="I174" s="7">
        <v>20.49</v>
      </c>
      <c r="J174" s="7" t="s">
        <v>58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 t="s">
        <v>59</v>
      </c>
      <c r="V174" s="7" t="s">
        <v>60</v>
      </c>
      <c r="W174" s="7" t="s">
        <v>61</v>
      </c>
      <c r="X174" s="5" t="str">
        <f ca="1">IF(INDIRECT("W174")="Clássico","13%",IF(INDIRECT("W174")="Premium","17%","-"))</f>
        <v>13%</v>
      </c>
      <c r="Y174" s="7" t="s">
        <v>62</v>
      </c>
    </row>
    <row r="175" spans="1:25" ht="50" customHeight="1" x14ac:dyDescent="0.25">
      <c r="A175" s="5" t="s">
        <v>905</v>
      </c>
      <c r="B175" s="5" t="s">
        <v>906</v>
      </c>
      <c r="C175" s="5" t="s">
        <v>907</v>
      </c>
      <c r="D175" s="5"/>
      <c r="E175" s="6" t="s">
        <v>908</v>
      </c>
      <c r="F175" s="6" t="s">
        <v>909</v>
      </c>
      <c r="G175" s="5" t="s">
        <v>909</v>
      </c>
      <c r="H175" s="7">
        <v>4</v>
      </c>
      <c r="I175" s="7">
        <v>24.49</v>
      </c>
      <c r="J175" s="7" t="s">
        <v>58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 t="s">
        <v>59</v>
      </c>
      <c r="V175" s="7" t="s">
        <v>60</v>
      </c>
      <c r="W175" s="7" t="s">
        <v>61</v>
      </c>
      <c r="X175" s="5" t="str">
        <f ca="1">IF(INDIRECT("W175")="Clássico","13%",IF(INDIRECT("W175")="Premium","17%","-"))</f>
        <v>13%</v>
      </c>
      <c r="Y175" s="7" t="s">
        <v>62</v>
      </c>
    </row>
    <row r="176" spans="1:25" ht="50" customHeight="1" x14ac:dyDescent="0.25">
      <c r="A176" s="5" t="s">
        <v>910</v>
      </c>
      <c r="B176" s="5" t="s">
        <v>911</v>
      </c>
      <c r="C176" s="5" t="s">
        <v>912</v>
      </c>
      <c r="D176" s="5"/>
      <c r="E176" s="6" t="s">
        <v>913</v>
      </c>
      <c r="F176" s="6" t="s">
        <v>914</v>
      </c>
      <c r="G176" s="5" t="s">
        <v>914</v>
      </c>
      <c r="H176" s="7">
        <v>12</v>
      </c>
      <c r="I176" s="7">
        <v>28.49</v>
      </c>
      <c r="J176" s="7" t="s">
        <v>58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 t="s">
        <v>59</v>
      </c>
      <c r="V176" s="7" t="s">
        <v>60</v>
      </c>
      <c r="W176" s="7" t="s">
        <v>61</v>
      </c>
      <c r="X176" s="5" t="str">
        <f ca="1">IF(INDIRECT("W176")="Clássico","13%",IF(INDIRECT("W176")="Premium","17%","-"))</f>
        <v>13%</v>
      </c>
      <c r="Y176" s="7" t="s">
        <v>62</v>
      </c>
    </row>
    <row r="177" spans="1:25" ht="50" customHeight="1" x14ac:dyDescent="0.25">
      <c r="A177" s="5" t="s">
        <v>915</v>
      </c>
      <c r="B177" s="5" t="s">
        <v>916</v>
      </c>
      <c r="C177" s="5" t="s">
        <v>917</v>
      </c>
      <c r="D177" s="5"/>
      <c r="E177" s="6" t="s">
        <v>918</v>
      </c>
      <c r="F177" s="6" t="s">
        <v>919</v>
      </c>
      <c r="G177" s="5" t="s">
        <v>919</v>
      </c>
      <c r="H177" s="7">
        <v>12</v>
      </c>
      <c r="I177" s="7">
        <v>28.49</v>
      </c>
      <c r="J177" s="7" t="s">
        <v>58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 t="s">
        <v>59</v>
      </c>
      <c r="V177" s="7" t="s">
        <v>60</v>
      </c>
      <c r="W177" s="7" t="s">
        <v>61</v>
      </c>
      <c r="X177" s="5" t="str">
        <f ca="1">IF(INDIRECT("W177")="Clássico","13%",IF(INDIRECT("W177")="Premium","17%","-"))</f>
        <v>13%</v>
      </c>
      <c r="Y177" s="7" t="s">
        <v>62</v>
      </c>
    </row>
    <row r="178" spans="1:25" ht="50" customHeight="1" x14ac:dyDescent="0.25">
      <c r="A178" s="5" t="s">
        <v>920</v>
      </c>
      <c r="B178" s="5" t="s">
        <v>921</v>
      </c>
      <c r="C178" s="5" t="s">
        <v>922</v>
      </c>
      <c r="D178" s="5"/>
      <c r="E178" s="6" t="s">
        <v>923</v>
      </c>
      <c r="F178" s="6" t="s">
        <v>924</v>
      </c>
      <c r="G178" s="5" t="s">
        <v>924</v>
      </c>
      <c r="H178" s="7">
        <v>4</v>
      </c>
      <c r="I178" s="7">
        <v>28.49</v>
      </c>
      <c r="J178" s="7" t="s">
        <v>58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 t="s">
        <v>59</v>
      </c>
      <c r="V178" s="7" t="s">
        <v>60</v>
      </c>
      <c r="W178" s="7" t="s">
        <v>61</v>
      </c>
      <c r="X178" s="5" t="str">
        <f ca="1">IF(INDIRECT("W178")="Clássico","13%",IF(INDIRECT("W178")="Premium","17%","-"))</f>
        <v>13%</v>
      </c>
      <c r="Y178" s="7" t="s">
        <v>62</v>
      </c>
    </row>
    <row r="179" spans="1:25" ht="50" customHeight="1" x14ac:dyDescent="0.25">
      <c r="A179" s="5" t="s">
        <v>925</v>
      </c>
      <c r="B179" s="5" t="s">
        <v>926</v>
      </c>
      <c r="C179" s="5" t="s">
        <v>927</v>
      </c>
      <c r="D179" s="5"/>
      <c r="E179" s="6" t="s">
        <v>928</v>
      </c>
      <c r="F179" s="6" t="s">
        <v>929</v>
      </c>
      <c r="G179" s="5" t="s">
        <v>929</v>
      </c>
      <c r="H179" s="7">
        <v>47</v>
      </c>
      <c r="I179" s="7">
        <v>20.49</v>
      </c>
      <c r="J179" s="7" t="s">
        <v>58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 t="s">
        <v>59</v>
      </c>
      <c r="V179" s="7" t="s">
        <v>60</v>
      </c>
      <c r="W179" s="7" t="s">
        <v>61</v>
      </c>
      <c r="X179" s="5" t="str">
        <f ca="1">IF(INDIRECT("W179")="Clássico","13%",IF(INDIRECT("W179")="Premium","17%","-"))</f>
        <v>13%</v>
      </c>
      <c r="Y179" s="7" t="s">
        <v>62</v>
      </c>
    </row>
    <row r="180" spans="1:25" ht="50" customHeight="1" x14ac:dyDescent="0.25">
      <c r="A180" s="5" t="s">
        <v>930</v>
      </c>
      <c r="B180" s="5" t="s">
        <v>931</v>
      </c>
      <c r="C180" s="5" t="s">
        <v>932</v>
      </c>
      <c r="D180" s="5"/>
      <c r="E180" s="6" t="s">
        <v>933</v>
      </c>
      <c r="F180" s="6" t="s">
        <v>934</v>
      </c>
      <c r="G180" s="5" t="s">
        <v>934</v>
      </c>
      <c r="H180" s="7">
        <v>4</v>
      </c>
      <c r="I180" s="7">
        <v>41.49</v>
      </c>
      <c r="J180" s="7" t="s">
        <v>58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 t="s">
        <v>59</v>
      </c>
      <c r="V180" s="7" t="s">
        <v>60</v>
      </c>
      <c r="W180" s="7" t="s">
        <v>61</v>
      </c>
      <c r="X180" s="5" t="str">
        <f ca="1">IF(INDIRECT("W180")="Clássico","13%",IF(INDIRECT("W180")="Premium","17%","-"))</f>
        <v>13%</v>
      </c>
      <c r="Y180" s="7" t="s">
        <v>62</v>
      </c>
    </row>
    <row r="181" spans="1:25" ht="50" customHeight="1" x14ac:dyDescent="0.25">
      <c r="A181" s="5" t="s">
        <v>935</v>
      </c>
      <c r="B181" s="5" t="s">
        <v>936</v>
      </c>
      <c r="C181" s="5" t="s">
        <v>937</v>
      </c>
      <c r="D181" s="5"/>
      <c r="E181" s="6" t="s">
        <v>938</v>
      </c>
      <c r="F181" s="6" t="s">
        <v>939</v>
      </c>
      <c r="G181" s="5" t="s">
        <v>939</v>
      </c>
      <c r="H181" s="7">
        <v>12</v>
      </c>
      <c r="I181" s="7">
        <v>22.49</v>
      </c>
      <c r="J181" s="7" t="s">
        <v>58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 t="s">
        <v>59</v>
      </c>
      <c r="V181" s="7" t="s">
        <v>60</v>
      </c>
      <c r="W181" s="7" t="s">
        <v>61</v>
      </c>
      <c r="X181" s="5" t="str">
        <f ca="1">IF(INDIRECT("W181")="Clássico","13%",IF(INDIRECT("W181")="Premium","17%","-"))</f>
        <v>13%</v>
      </c>
      <c r="Y181" s="7" t="s">
        <v>62</v>
      </c>
    </row>
    <row r="182" spans="1:25" ht="50" customHeight="1" x14ac:dyDescent="0.25">
      <c r="A182" s="5" t="s">
        <v>940</v>
      </c>
      <c r="B182" s="5" t="s">
        <v>941</v>
      </c>
      <c r="C182" s="5" t="s">
        <v>942</v>
      </c>
      <c r="D182" s="5"/>
      <c r="E182" s="6" t="s">
        <v>943</v>
      </c>
      <c r="F182" s="6" t="s">
        <v>944</v>
      </c>
      <c r="G182" s="5" t="s">
        <v>944</v>
      </c>
      <c r="H182" s="7">
        <v>100</v>
      </c>
      <c r="I182" s="7">
        <v>319.99</v>
      </c>
      <c r="J182" s="7" t="s">
        <v>58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5" t="s">
        <v>59</v>
      </c>
      <c r="V182" s="7" t="s">
        <v>129</v>
      </c>
      <c r="W182" s="7" t="s">
        <v>84</v>
      </c>
      <c r="X182" s="5" t="str">
        <f ca="1">IF(INDIRECT("W182")="Clássico","14%",IF(INDIRECT("W182")="Premium","19%","-"))</f>
        <v>19%</v>
      </c>
      <c r="Y182" s="7" t="s">
        <v>62</v>
      </c>
    </row>
    <row r="183" spans="1:25" ht="50" customHeight="1" x14ac:dyDescent="0.25">
      <c r="A183" s="5" t="s">
        <v>945</v>
      </c>
      <c r="B183" s="5" t="s">
        <v>946</v>
      </c>
      <c r="C183" s="5" t="s">
        <v>947</v>
      </c>
      <c r="D183" s="5"/>
      <c r="E183" s="6" t="s">
        <v>948</v>
      </c>
      <c r="F183" s="6" t="s">
        <v>949</v>
      </c>
      <c r="G183" s="5" t="s">
        <v>949</v>
      </c>
      <c r="H183" s="7">
        <v>289</v>
      </c>
      <c r="I183" s="7">
        <v>92.3</v>
      </c>
      <c r="J183" s="7" t="s">
        <v>58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5" t="s">
        <v>59</v>
      </c>
      <c r="V183" s="7" t="s">
        <v>129</v>
      </c>
      <c r="W183" s="7" t="s">
        <v>84</v>
      </c>
      <c r="X183" s="5" t="str">
        <f ca="1">IF(INDIRECT("W183")="Clássico","14%",IF(INDIRECT("W183")="Premium","19%","-"))</f>
        <v>19%</v>
      </c>
      <c r="Y183" s="7" t="s">
        <v>62</v>
      </c>
    </row>
    <row r="184" spans="1:25" ht="50" customHeight="1" x14ac:dyDescent="0.25">
      <c r="A184" s="5" t="s">
        <v>950</v>
      </c>
      <c r="B184" s="5" t="s">
        <v>951</v>
      </c>
      <c r="C184" s="5" t="s">
        <v>952</v>
      </c>
      <c r="D184" s="5"/>
      <c r="E184" s="6" t="s">
        <v>953</v>
      </c>
      <c r="F184" s="6" t="s">
        <v>954</v>
      </c>
      <c r="G184" s="5" t="s">
        <v>954</v>
      </c>
      <c r="H184" s="7">
        <v>12</v>
      </c>
      <c r="I184" s="7">
        <v>48.49</v>
      </c>
      <c r="J184" s="7" t="s">
        <v>58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 t="s">
        <v>59</v>
      </c>
      <c r="V184" s="7" t="s">
        <v>60</v>
      </c>
      <c r="W184" s="7" t="s">
        <v>61</v>
      </c>
      <c r="X184" s="5" t="str">
        <f ca="1">IF(INDIRECT("W184")="Clássico","13%",IF(INDIRECT("W184")="Premium","17%","-"))</f>
        <v>13%</v>
      </c>
      <c r="Y184" s="7" t="s">
        <v>62</v>
      </c>
    </row>
    <row r="185" spans="1:25" ht="50" customHeight="1" x14ac:dyDescent="0.25">
      <c r="A185" s="5" t="s">
        <v>955</v>
      </c>
      <c r="B185" s="5" t="s">
        <v>956</v>
      </c>
      <c r="C185" s="5" t="s">
        <v>957</v>
      </c>
      <c r="D185" s="5"/>
      <c r="E185" s="6" t="s">
        <v>958</v>
      </c>
      <c r="F185" s="6" t="s">
        <v>959</v>
      </c>
      <c r="G185" s="5" t="s">
        <v>959</v>
      </c>
      <c r="H185" s="7">
        <v>2</v>
      </c>
      <c r="I185" s="7">
        <v>201.99</v>
      </c>
      <c r="J185" s="7" t="s">
        <v>58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 t="s">
        <v>59</v>
      </c>
      <c r="V185" s="7" t="s">
        <v>129</v>
      </c>
      <c r="W185" s="7" t="s">
        <v>84</v>
      </c>
      <c r="X185" s="5" t="str">
        <f ca="1">IF(INDIRECT("W185")="Clássico","14%",IF(INDIRECT("W185")="Premium","19%","-"))</f>
        <v>19%</v>
      </c>
      <c r="Y185" s="7" t="s">
        <v>62</v>
      </c>
    </row>
    <row r="186" spans="1:25" ht="50" customHeight="1" x14ac:dyDescent="0.25">
      <c r="A186" s="5" t="s">
        <v>960</v>
      </c>
      <c r="B186" s="5" t="s">
        <v>961</v>
      </c>
      <c r="C186" s="5" t="s">
        <v>962</v>
      </c>
      <c r="D186" s="5"/>
      <c r="E186" s="6" t="s">
        <v>963</v>
      </c>
      <c r="F186" s="6" t="s">
        <v>964</v>
      </c>
      <c r="G186" s="5" t="s">
        <v>964</v>
      </c>
      <c r="H186" s="7">
        <v>12</v>
      </c>
      <c r="I186" s="7">
        <v>26.8</v>
      </c>
      <c r="J186" s="7" t="s">
        <v>58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 t="s">
        <v>59</v>
      </c>
      <c r="V186" s="7" t="s">
        <v>101</v>
      </c>
      <c r="W186" s="7" t="s">
        <v>84</v>
      </c>
      <c r="X186" s="5" t="str">
        <f ca="1">IF(INDIRECT("W186")="Clássico","13%",IF(INDIRECT("W186")="Premium","17%","-"))</f>
        <v>17%</v>
      </c>
      <c r="Y186" s="7" t="s">
        <v>62</v>
      </c>
    </row>
    <row r="187" spans="1:25" ht="50" customHeight="1" x14ac:dyDescent="0.25">
      <c r="A187" s="5" t="s">
        <v>965</v>
      </c>
      <c r="B187" s="5" t="s">
        <v>966</v>
      </c>
      <c r="C187" s="5" t="s">
        <v>967</v>
      </c>
      <c r="D187" s="5"/>
      <c r="E187" s="6" t="s">
        <v>968</v>
      </c>
      <c r="F187" s="6" t="s">
        <v>969</v>
      </c>
      <c r="G187" s="5" t="s">
        <v>969</v>
      </c>
      <c r="H187" s="7">
        <v>36</v>
      </c>
      <c r="I187" s="7">
        <v>25.49</v>
      </c>
      <c r="J187" s="7" t="s">
        <v>58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 t="s">
        <v>59</v>
      </c>
      <c r="V187" s="7" t="s">
        <v>60</v>
      </c>
      <c r="W187" s="7" t="s">
        <v>61</v>
      </c>
      <c r="X187" s="5" t="str">
        <f ca="1">IF(INDIRECT("W187")="Clássico","13%",IF(INDIRECT("W187")="Premium","17%","-"))</f>
        <v>13%</v>
      </c>
      <c r="Y187" s="7" t="s">
        <v>62</v>
      </c>
    </row>
    <row r="188" spans="1:25" ht="50" customHeight="1" x14ac:dyDescent="0.25">
      <c r="A188" s="5" t="s">
        <v>970</v>
      </c>
      <c r="B188" s="5" t="s">
        <v>971</v>
      </c>
      <c r="C188" s="5" t="s">
        <v>972</v>
      </c>
      <c r="D188" s="5"/>
      <c r="E188" s="6" t="s">
        <v>973</v>
      </c>
      <c r="F188" s="6" t="s">
        <v>974</v>
      </c>
      <c r="G188" s="5" t="s">
        <v>974</v>
      </c>
      <c r="H188" s="7">
        <v>3</v>
      </c>
      <c r="I188" s="7">
        <v>187.59</v>
      </c>
      <c r="J188" s="7" t="s">
        <v>58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 t="s">
        <v>59</v>
      </c>
      <c r="V188" s="7" t="s">
        <v>101</v>
      </c>
      <c r="W188" s="7" t="s">
        <v>84</v>
      </c>
      <c r="X188" s="5" t="str">
        <f ca="1">IF(INDIRECT("W188")="Clássico","13%",IF(INDIRECT("W188")="Premium","15%","-"))</f>
        <v>15%</v>
      </c>
      <c r="Y188" s="7" t="s">
        <v>62</v>
      </c>
    </row>
    <row r="189" spans="1:25" ht="50" customHeight="1" x14ac:dyDescent="0.25">
      <c r="A189" s="5" t="s">
        <v>975</v>
      </c>
      <c r="B189" s="5" t="s">
        <v>976</v>
      </c>
      <c r="C189" s="5" t="s">
        <v>977</v>
      </c>
      <c r="D189" s="5"/>
      <c r="E189" s="6" t="s">
        <v>978</v>
      </c>
      <c r="F189" s="6" t="s">
        <v>979</v>
      </c>
      <c r="G189" s="5" t="s">
        <v>979</v>
      </c>
      <c r="H189" s="7">
        <v>3</v>
      </c>
      <c r="I189" s="7">
        <v>187.59</v>
      </c>
      <c r="J189" s="7" t="s">
        <v>58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 t="s">
        <v>59</v>
      </c>
      <c r="V189" s="7" t="s">
        <v>101</v>
      </c>
      <c r="W189" s="7" t="s">
        <v>84</v>
      </c>
      <c r="X189" s="5" t="str">
        <f ca="1">IF(INDIRECT("W189")="Clássico","13%",IF(INDIRECT("W189")="Premium","15%","-"))</f>
        <v>15%</v>
      </c>
      <c r="Y189" s="7" t="s">
        <v>62</v>
      </c>
    </row>
    <row r="190" spans="1:25" ht="50" customHeight="1" x14ac:dyDescent="0.25">
      <c r="A190" s="5" t="s">
        <v>980</v>
      </c>
      <c r="B190" s="5" t="s">
        <v>981</v>
      </c>
      <c r="C190" s="5" t="s">
        <v>982</v>
      </c>
      <c r="D190" s="5"/>
      <c r="E190" s="6" t="s">
        <v>983</v>
      </c>
      <c r="F190" s="6" t="s">
        <v>984</v>
      </c>
      <c r="G190" s="5" t="s">
        <v>984</v>
      </c>
      <c r="H190" s="7">
        <v>12</v>
      </c>
      <c r="I190" s="7">
        <v>45.49</v>
      </c>
      <c r="J190" s="7" t="s">
        <v>58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 t="s">
        <v>59</v>
      </c>
      <c r="V190" s="7" t="s">
        <v>101</v>
      </c>
      <c r="W190" s="7" t="s">
        <v>61</v>
      </c>
      <c r="X190" s="5" t="str">
        <f ca="1">IF(INDIRECT("W190")="Clássico","12%",IF(INDIRECT("W190")="Premium","17%","-"))</f>
        <v>12%</v>
      </c>
      <c r="Y190" s="7" t="s">
        <v>62</v>
      </c>
    </row>
    <row r="191" spans="1:25" ht="50" customHeight="1" x14ac:dyDescent="0.25">
      <c r="A191" s="5" t="s">
        <v>985</v>
      </c>
      <c r="B191" s="5" t="s">
        <v>986</v>
      </c>
      <c r="C191" s="5" t="s">
        <v>987</v>
      </c>
      <c r="D191" s="5"/>
      <c r="E191" s="6" t="s">
        <v>988</v>
      </c>
      <c r="F191" s="6" t="s">
        <v>989</v>
      </c>
      <c r="G191" s="5" t="s">
        <v>989</v>
      </c>
      <c r="H191" s="7">
        <v>8</v>
      </c>
      <c r="I191" s="7">
        <v>31.49</v>
      </c>
      <c r="J191" s="7" t="s">
        <v>58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 t="s">
        <v>59</v>
      </c>
      <c r="V191" s="7" t="s">
        <v>60</v>
      </c>
      <c r="W191" s="7" t="s">
        <v>61</v>
      </c>
      <c r="X191" s="5" t="str">
        <f ca="1">IF(INDIRECT("W191")="Clássico","13%",IF(INDIRECT("W191")="Premium","17%","-"))</f>
        <v>13%</v>
      </c>
      <c r="Y191" s="7" t="s">
        <v>62</v>
      </c>
    </row>
    <row r="192" spans="1:25" ht="50" customHeight="1" x14ac:dyDescent="0.25">
      <c r="A192" s="5" t="s">
        <v>990</v>
      </c>
      <c r="B192" s="5" t="s">
        <v>991</v>
      </c>
      <c r="C192" s="5" t="s">
        <v>992</v>
      </c>
      <c r="D192" s="5"/>
      <c r="E192" s="6" t="s">
        <v>993</v>
      </c>
      <c r="F192" s="6" t="s">
        <v>994</v>
      </c>
      <c r="G192" s="5" t="s">
        <v>994</v>
      </c>
      <c r="H192" s="7">
        <v>4</v>
      </c>
      <c r="I192" s="7">
        <v>28.49</v>
      </c>
      <c r="J192" s="7" t="s">
        <v>58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 t="s">
        <v>59</v>
      </c>
      <c r="V192" s="7" t="s">
        <v>60</v>
      </c>
      <c r="W192" s="7" t="s">
        <v>61</v>
      </c>
      <c r="X192" s="5" t="str">
        <f ca="1">IF(INDIRECT("W192")="Clássico","13%",IF(INDIRECT("W192")="Premium","17%","-"))</f>
        <v>13%</v>
      </c>
      <c r="Y192" s="7" t="s">
        <v>62</v>
      </c>
    </row>
    <row r="193" spans="1:25" ht="50" customHeight="1" x14ac:dyDescent="0.25">
      <c r="A193" s="5" t="s">
        <v>995</v>
      </c>
      <c r="B193" s="5" t="s">
        <v>996</v>
      </c>
      <c r="C193" s="5" t="s">
        <v>997</v>
      </c>
      <c r="D193" s="5"/>
      <c r="E193" s="6" t="s">
        <v>998</v>
      </c>
      <c r="F193" s="6" t="s">
        <v>999</v>
      </c>
      <c r="G193" s="5" t="s">
        <v>999</v>
      </c>
      <c r="H193" s="7">
        <v>12</v>
      </c>
      <c r="I193" s="7">
        <v>26.49</v>
      </c>
      <c r="J193" s="7" t="s">
        <v>58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 t="s">
        <v>59</v>
      </c>
      <c r="V193" s="7" t="s">
        <v>101</v>
      </c>
      <c r="W193" s="7" t="s">
        <v>61</v>
      </c>
      <c r="X193" s="5" t="str">
        <f ca="1">IF(INDIRECT("W193")="Clássico","13%",IF(INDIRECT("W193")="Premium","17%","-"))</f>
        <v>13%</v>
      </c>
      <c r="Y193" s="7" t="s">
        <v>62</v>
      </c>
    </row>
    <row r="194" spans="1:25" ht="50" customHeight="1" x14ac:dyDescent="0.25">
      <c r="A194" s="5" t="s">
        <v>1000</v>
      </c>
      <c r="B194" s="5" t="s">
        <v>1001</v>
      </c>
      <c r="C194" s="5" t="s">
        <v>1002</v>
      </c>
      <c r="D194" s="5"/>
      <c r="E194" s="6" t="s">
        <v>1003</v>
      </c>
      <c r="F194" s="6" t="s">
        <v>1004</v>
      </c>
      <c r="G194" s="5" t="s">
        <v>1004</v>
      </c>
      <c r="H194" s="7">
        <v>12</v>
      </c>
      <c r="I194" s="7">
        <v>26.49</v>
      </c>
      <c r="J194" s="7" t="s">
        <v>58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 t="s">
        <v>59</v>
      </c>
      <c r="V194" s="7" t="s">
        <v>101</v>
      </c>
      <c r="W194" s="7" t="s">
        <v>61</v>
      </c>
      <c r="X194" s="5" t="str">
        <f ca="1">IF(INDIRECT("W194")="Clássico","13%",IF(INDIRECT("W194")="Premium","17%","-"))</f>
        <v>13%</v>
      </c>
      <c r="Y194" s="7" t="s">
        <v>62</v>
      </c>
    </row>
    <row r="195" spans="1:25" ht="50" customHeight="1" x14ac:dyDescent="0.25">
      <c r="A195" s="5" t="s">
        <v>1005</v>
      </c>
      <c r="B195" s="5" t="s">
        <v>1006</v>
      </c>
      <c r="C195" s="5" t="s">
        <v>1007</v>
      </c>
      <c r="D195" s="5"/>
      <c r="E195" s="6" t="s">
        <v>1008</v>
      </c>
      <c r="F195" s="6" t="s">
        <v>1009</v>
      </c>
      <c r="G195" s="5" t="s">
        <v>1009</v>
      </c>
      <c r="H195" s="7">
        <v>24</v>
      </c>
      <c r="I195" s="7">
        <v>26.49</v>
      </c>
      <c r="J195" s="7" t="s">
        <v>58</v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 t="s">
        <v>59</v>
      </c>
      <c r="V195" s="7" t="s">
        <v>101</v>
      </c>
      <c r="W195" s="7" t="s">
        <v>61</v>
      </c>
      <c r="X195" s="5" t="str">
        <f ca="1">IF(INDIRECT("W195")="Clássico","13%",IF(INDIRECT("W195")="Premium","17%","-"))</f>
        <v>13%</v>
      </c>
      <c r="Y195" s="7" t="s">
        <v>62</v>
      </c>
    </row>
    <row r="196" spans="1:25" ht="50" customHeight="1" x14ac:dyDescent="0.25">
      <c r="A196" s="5" t="s">
        <v>1010</v>
      </c>
      <c r="B196" s="5" t="s">
        <v>1011</v>
      </c>
      <c r="C196" s="5" t="s">
        <v>1012</v>
      </c>
      <c r="D196" s="5"/>
      <c r="E196" s="6" t="s">
        <v>1013</v>
      </c>
      <c r="F196" s="6" t="s">
        <v>1014</v>
      </c>
      <c r="G196" s="5" t="s">
        <v>1014</v>
      </c>
      <c r="H196" s="7">
        <v>8</v>
      </c>
      <c r="I196" s="7">
        <v>28.49</v>
      </c>
      <c r="J196" s="7" t="s">
        <v>58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 t="s">
        <v>59</v>
      </c>
      <c r="V196" s="7" t="s">
        <v>60</v>
      </c>
      <c r="W196" s="7" t="s">
        <v>61</v>
      </c>
      <c r="X196" s="5" t="str">
        <f ca="1">IF(INDIRECT("W196")="Clássico","13%",IF(INDIRECT("W196")="Premium","17%","-"))</f>
        <v>13%</v>
      </c>
      <c r="Y196" s="7" t="s">
        <v>62</v>
      </c>
    </row>
    <row r="197" spans="1:25" ht="50" customHeight="1" x14ac:dyDescent="0.25">
      <c r="A197" s="5" t="s">
        <v>1015</v>
      </c>
      <c r="B197" s="5" t="s">
        <v>1016</v>
      </c>
      <c r="C197" s="5" t="s">
        <v>1017</v>
      </c>
      <c r="D197" s="5"/>
      <c r="E197" s="6" t="s">
        <v>1018</v>
      </c>
      <c r="F197" s="6" t="s">
        <v>1019</v>
      </c>
      <c r="G197" s="5" t="s">
        <v>1020</v>
      </c>
      <c r="H197" s="7">
        <v>48</v>
      </c>
      <c r="I197" s="7">
        <v>26.49</v>
      </c>
      <c r="J197" s="7" t="s">
        <v>58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 t="s">
        <v>59</v>
      </c>
      <c r="V197" s="7" t="s">
        <v>101</v>
      </c>
      <c r="W197" s="7" t="s">
        <v>61</v>
      </c>
      <c r="X197" s="5" t="str">
        <f ca="1">IF(INDIRECT("W197")="Clássico","13%",IF(INDIRECT("W197")="Premium","17%","-"))</f>
        <v>13%</v>
      </c>
      <c r="Y197" s="7" t="s">
        <v>62</v>
      </c>
    </row>
    <row r="198" spans="1:25" ht="50" customHeight="1" x14ac:dyDescent="0.25">
      <c r="A198" s="5" t="s">
        <v>1021</v>
      </c>
      <c r="B198" s="5" t="s">
        <v>1022</v>
      </c>
      <c r="C198" s="5" t="s">
        <v>1023</v>
      </c>
      <c r="D198" s="5"/>
      <c r="E198" s="6" t="s">
        <v>1024</v>
      </c>
      <c r="F198" s="6" t="s">
        <v>1025</v>
      </c>
      <c r="G198" s="5" t="s">
        <v>1025</v>
      </c>
      <c r="H198" s="7">
        <v>12</v>
      </c>
      <c r="I198" s="5" t="s">
        <v>2</v>
      </c>
      <c r="J198" s="7" t="s">
        <v>58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 t="s">
        <v>59</v>
      </c>
      <c r="V198" s="7" t="s">
        <v>101</v>
      </c>
      <c r="W198" s="7" t="s">
        <v>61</v>
      </c>
      <c r="X198" s="5" t="str">
        <f ca="1">IF(INDIRECT("W198")="Clássico","13%",IF(INDIRECT("W198")="Premium","17%","-"))</f>
        <v>13%</v>
      </c>
      <c r="Y198" s="7" t="s">
        <v>62</v>
      </c>
    </row>
    <row r="199" spans="1:25" ht="50" customHeight="1" x14ac:dyDescent="0.25">
      <c r="A199" s="5" t="s">
        <v>1026</v>
      </c>
      <c r="B199" s="5" t="s">
        <v>1027</v>
      </c>
      <c r="C199" s="5" t="s">
        <v>1028</v>
      </c>
      <c r="D199" s="5"/>
      <c r="E199" s="6" t="s">
        <v>1029</v>
      </c>
      <c r="F199" s="6" t="s">
        <v>1030</v>
      </c>
      <c r="G199" s="5" t="s">
        <v>1030</v>
      </c>
      <c r="H199" s="7">
        <v>12</v>
      </c>
      <c r="I199" s="7">
        <v>26.49</v>
      </c>
      <c r="J199" s="7" t="s">
        <v>58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 t="s">
        <v>59</v>
      </c>
      <c r="V199" s="7" t="s">
        <v>101</v>
      </c>
      <c r="W199" s="7" t="s">
        <v>61</v>
      </c>
      <c r="X199" s="5" t="str">
        <f ca="1">IF(INDIRECT("W199")="Clássico","13%",IF(INDIRECT("W199")="Premium","17%","-"))</f>
        <v>13%</v>
      </c>
      <c r="Y199" s="7" t="s">
        <v>62</v>
      </c>
    </row>
    <row r="200" spans="1:25" ht="50" customHeight="1" x14ac:dyDescent="0.25">
      <c r="A200" s="5" t="s">
        <v>1031</v>
      </c>
      <c r="B200" s="5" t="s">
        <v>1032</v>
      </c>
      <c r="C200" s="5" t="s">
        <v>1033</v>
      </c>
      <c r="D200" s="5"/>
      <c r="E200" s="6" t="s">
        <v>1034</v>
      </c>
      <c r="F200" s="6" t="s">
        <v>1035</v>
      </c>
      <c r="G200" s="5" t="s">
        <v>1035</v>
      </c>
      <c r="H200" s="7">
        <v>12</v>
      </c>
      <c r="I200" s="7">
        <v>30.49</v>
      </c>
      <c r="J200" s="7" t="s">
        <v>58</v>
      </c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 t="s">
        <v>59</v>
      </c>
      <c r="V200" s="7" t="s">
        <v>101</v>
      </c>
      <c r="W200" s="7" t="s">
        <v>61</v>
      </c>
      <c r="X200" s="5" t="str">
        <f ca="1">IF(INDIRECT("W200")="Clássico","13%",IF(INDIRECT("W200")="Premium","17%","-"))</f>
        <v>13%</v>
      </c>
      <c r="Y200" s="7" t="s">
        <v>62</v>
      </c>
    </row>
    <row r="201" spans="1:25" ht="50" customHeight="1" x14ac:dyDescent="0.25">
      <c r="A201" s="5" t="s">
        <v>1036</v>
      </c>
      <c r="B201" s="5" t="s">
        <v>1037</v>
      </c>
      <c r="C201" s="5" t="s">
        <v>1038</v>
      </c>
      <c r="D201" s="5"/>
      <c r="E201" s="6" t="s">
        <v>1039</v>
      </c>
      <c r="F201" s="6" t="s">
        <v>1040</v>
      </c>
      <c r="G201" s="5" t="s">
        <v>1040</v>
      </c>
      <c r="H201" s="7">
        <v>12</v>
      </c>
      <c r="I201" s="7">
        <v>30.49</v>
      </c>
      <c r="J201" s="7" t="s">
        <v>58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 t="s">
        <v>59</v>
      </c>
      <c r="V201" s="7" t="s">
        <v>101</v>
      </c>
      <c r="W201" s="7" t="s">
        <v>61</v>
      </c>
      <c r="X201" s="5" t="str">
        <f ca="1">IF(INDIRECT("W201")="Clássico","13%",IF(INDIRECT("W201")="Premium","17%","-"))</f>
        <v>13%</v>
      </c>
      <c r="Y201" s="7" t="s">
        <v>62</v>
      </c>
    </row>
    <row r="202" spans="1:25" ht="50" customHeight="1" x14ac:dyDescent="0.25">
      <c r="A202" s="5" t="s">
        <v>1041</v>
      </c>
      <c r="B202" s="5" t="s">
        <v>1042</v>
      </c>
      <c r="C202" s="5" t="s">
        <v>1043</v>
      </c>
      <c r="D202" s="5"/>
      <c r="E202" s="6" t="s">
        <v>1044</v>
      </c>
      <c r="F202" s="6" t="s">
        <v>1045</v>
      </c>
      <c r="G202" s="5" t="s">
        <v>1045</v>
      </c>
      <c r="H202" s="7">
        <v>12</v>
      </c>
      <c r="I202" s="7">
        <v>30.49</v>
      </c>
      <c r="J202" s="7" t="s">
        <v>58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 t="s">
        <v>59</v>
      </c>
      <c r="V202" s="7" t="s">
        <v>101</v>
      </c>
      <c r="W202" s="7" t="s">
        <v>61</v>
      </c>
      <c r="X202" s="5" t="str">
        <f ca="1">IF(INDIRECT("W202")="Clássico","13%",IF(INDIRECT("W202")="Premium","17%","-"))</f>
        <v>13%</v>
      </c>
      <c r="Y202" s="7" t="s">
        <v>62</v>
      </c>
    </row>
    <row r="203" spans="1:25" ht="50" customHeight="1" x14ac:dyDescent="0.25">
      <c r="A203" s="5" t="s">
        <v>1046</v>
      </c>
      <c r="B203" s="5" t="s">
        <v>1047</v>
      </c>
      <c r="C203" s="5" t="s">
        <v>1048</v>
      </c>
      <c r="D203" s="5"/>
      <c r="E203" s="6" t="s">
        <v>1049</v>
      </c>
      <c r="F203" s="6" t="s">
        <v>1050</v>
      </c>
      <c r="G203" s="5" t="s">
        <v>1050</v>
      </c>
      <c r="H203" s="7">
        <v>4</v>
      </c>
      <c r="I203" s="7">
        <v>26.49</v>
      </c>
      <c r="J203" s="7" t="s">
        <v>58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 t="s">
        <v>59</v>
      </c>
      <c r="V203" s="7" t="s">
        <v>101</v>
      </c>
      <c r="W203" s="7" t="s">
        <v>61</v>
      </c>
      <c r="X203" s="5" t="str">
        <f ca="1">IF(INDIRECT("W203")="Clássico","13%",IF(INDIRECT("W203")="Premium","17%","-"))</f>
        <v>13%</v>
      </c>
      <c r="Y203" s="7" t="s">
        <v>62</v>
      </c>
    </row>
    <row r="204" spans="1:25" ht="50" customHeight="1" x14ac:dyDescent="0.25">
      <c r="A204" s="5" t="s">
        <v>1051</v>
      </c>
      <c r="B204" s="5" t="s">
        <v>1052</v>
      </c>
      <c r="C204" s="5" t="s">
        <v>1053</v>
      </c>
      <c r="D204" s="5"/>
      <c r="E204" s="6" t="s">
        <v>1054</v>
      </c>
      <c r="F204" s="6" t="s">
        <v>1055</v>
      </c>
      <c r="G204" s="5" t="s">
        <v>1055</v>
      </c>
      <c r="H204" s="7">
        <v>24</v>
      </c>
      <c r="I204" s="7">
        <v>26.49</v>
      </c>
      <c r="J204" s="7" t="s">
        <v>58</v>
      </c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 t="s">
        <v>59</v>
      </c>
      <c r="V204" s="7" t="s">
        <v>101</v>
      </c>
      <c r="W204" s="7" t="s">
        <v>61</v>
      </c>
      <c r="X204" s="5" t="str">
        <f ca="1">IF(INDIRECT("W204")="Clássico","13%",IF(INDIRECT("W204")="Premium","17%","-"))</f>
        <v>13%</v>
      </c>
      <c r="Y204" s="7" t="s">
        <v>62</v>
      </c>
    </row>
    <row r="205" spans="1:25" ht="50" customHeight="1" x14ac:dyDescent="0.25">
      <c r="A205" s="5" t="s">
        <v>1056</v>
      </c>
      <c r="B205" s="5" t="s">
        <v>1057</v>
      </c>
      <c r="C205" s="5" t="s">
        <v>1058</v>
      </c>
      <c r="D205" s="5"/>
      <c r="E205" s="6" t="s">
        <v>1059</v>
      </c>
      <c r="F205" s="6" t="s">
        <v>1060</v>
      </c>
      <c r="G205" s="5" t="s">
        <v>1060</v>
      </c>
      <c r="H205" s="7">
        <v>12</v>
      </c>
      <c r="I205" s="7">
        <v>26.49</v>
      </c>
      <c r="J205" s="7" t="s">
        <v>58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 t="s">
        <v>59</v>
      </c>
      <c r="V205" s="7" t="s">
        <v>101</v>
      </c>
      <c r="W205" s="7" t="s">
        <v>61</v>
      </c>
      <c r="X205" s="5" t="str">
        <f ca="1">IF(INDIRECT("W205")="Clássico","13%",IF(INDIRECT("W205")="Premium","17%","-"))</f>
        <v>13%</v>
      </c>
      <c r="Y205" s="7" t="s">
        <v>62</v>
      </c>
    </row>
    <row r="206" spans="1:25" ht="50" customHeight="1" x14ac:dyDescent="0.25">
      <c r="A206" s="5" t="s">
        <v>1061</v>
      </c>
      <c r="B206" s="5" t="s">
        <v>1062</v>
      </c>
      <c r="C206" s="5" t="s">
        <v>1063</v>
      </c>
      <c r="D206" s="5"/>
      <c r="E206" s="6" t="s">
        <v>1064</v>
      </c>
      <c r="F206" s="6" t="s">
        <v>1065</v>
      </c>
      <c r="G206" s="5" t="s">
        <v>1065</v>
      </c>
      <c r="H206" s="7">
        <v>26</v>
      </c>
      <c r="I206" s="7">
        <v>48.49</v>
      </c>
      <c r="J206" s="7" t="s">
        <v>58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 t="s">
        <v>59</v>
      </c>
      <c r="V206" s="7" t="s">
        <v>60</v>
      </c>
      <c r="W206" s="7" t="s">
        <v>61</v>
      </c>
      <c r="X206" s="5" t="str">
        <f ca="1">IF(INDIRECT("W206")="Clássico","13%",IF(INDIRECT("W206")="Premium","17%","-"))</f>
        <v>13%</v>
      </c>
      <c r="Y206" s="7" t="s">
        <v>62</v>
      </c>
    </row>
    <row r="207" spans="1:25" ht="50" customHeight="1" x14ac:dyDescent="0.25">
      <c r="A207" s="5" t="s">
        <v>1066</v>
      </c>
      <c r="B207" s="5" t="s">
        <v>1067</v>
      </c>
      <c r="C207" s="5" t="s">
        <v>1068</v>
      </c>
      <c r="D207" s="5"/>
      <c r="E207" s="6" t="s">
        <v>1069</v>
      </c>
      <c r="F207" s="6" t="s">
        <v>1070</v>
      </c>
      <c r="G207" s="5" t="s">
        <v>1070</v>
      </c>
      <c r="H207" s="7">
        <v>15</v>
      </c>
      <c r="I207" s="7">
        <v>58.9</v>
      </c>
      <c r="J207" s="7" t="s">
        <v>58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5" t="s">
        <v>59</v>
      </c>
      <c r="V207" s="7" t="s">
        <v>129</v>
      </c>
      <c r="W207" s="7" t="s">
        <v>61</v>
      </c>
      <c r="X207" s="5" t="str">
        <f ca="1">IF(INDIRECT("W207")="Clássico","14%",IF(INDIRECT("W207")="Premium","19%","-"))</f>
        <v>14%</v>
      </c>
      <c r="Y207" s="7" t="s">
        <v>62</v>
      </c>
    </row>
    <row r="208" spans="1:25" ht="50" customHeight="1" x14ac:dyDescent="0.25">
      <c r="A208" s="5" t="s">
        <v>1071</v>
      </c>
      <c r="B208" s="5" t="s">
        <v>1072</v>
      </c>
      <c r="C208" s="5" t="s">
        <v>1073</v>
      </c>
      <c r="D208" s="5"/>
      <c r="E208" s="6" t="s">
        <v>1074</v>
      </c>
      <c r="F208" s="6" t="s">
        <v>1075</v>
      </c>
      <c r="G208" s="5" t="s">
        <v>1075</v>
      </c>
      <c r="H208" s="7">
        <v>60</v>
      </c>
      <c r="I208" s="7">
        <v>18.489999999999998</v>
      </c>
      <c r="J208" s="7" t="s">
        <v>58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 t="s">
        <v>59</v>
      </c>
      <c r="V208" s="7" t="s">
        <v>60</v>
      </c>
      <c r="W208" s="7" t="s">
        <v>61</v>
      </c>
      <c r="X208" s="5" t="str">
        <f ca="1">IF(INDIRECT("W208")="Clássico","13%",IF(INDIRECT("W208")="Premium","17%","-"))</f>
        <v>13%</v>
      </c>
      <c r="Y208" s="7" t="s">
        <v>62</v>
      </c>
    </row>
    <row r="209" spans="1:25" ht="50" customHeight="1" x14ac:dyDescent="0.25">
      <c r="A209" s="5" t="s">
        <v>1076</v>
      </c>
      <c r="B209" s="5" t="s">
        <v>1077</v>
      </c>
      <c r="C209" s="5" t="s">
        <v>1078</v>
      </c>
      <c r="D209" s="5"/>
      <c r="E209" s="6" t="s">
        <v>1079</v>
      </c>
      <c r="F209" s="6" t="s">
        <v>1080</v>
      </c>
      <c r="G209" s="5" t="s">
        <v>1080</v>
      </c>
      <c r="H209" s="7">
        <v>8</v>
      </c>
      <c r="I209" s="7">
        <v>26.49</v>
      </c>
      <c r="J209" s="7" t="s">
        <v>58</v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 t="s">
        <v>59</v>
      </c>
      <c r="V209" s="7" t="s">
        <v>101</v>
      </c>
      <c r="W209" s="7" t="s">
        <v>61</v>
      </c>
      <c r="X209" s="5" t="str">
        <f ca="1">IF(INDIRECT("W209")="Clássico","13%",IF(INDIRECT("W209")="Premium","17%","-"))</f>
        <v>13%</v>
      </c>
      <c r="Y209" s="7" t="s">
        <v>62</v>
      </c>
    </row>
    <row r="210" spans="1:25" ht="50" customHeight="1" x14ac:dyDescent="0.25">
      <c r="A210" s="5" t="s">
        <v>1081</v>
      </c>
      <c r="B210" s="5" t="s">
        <v>1082</v>
      </c>
      <c r="C210" s="5" t="s">
        <v>1083</v>
      </c>
      <c r="D210" s="5"/>
      <c r="E210" s="6" t="s">
        <v>1084</v>
      </c>
      <c r="F210" s="6" t="s">
        <v>1085</v>
      </c>
      <c r="G210" s="5" t="s">
        <v>1085</v>
      </c>
      <c r="H210" s="7">
        <v>12</v>
      </c>
      <c r="I210" s="7">
        <v>48.49</v>
      </c>
      <c r="J210" s="7" t="s">
        <v>58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 t="s">
        <v>59</v>
      </c>
      <c r="V210" s="7" t="s">
        <v>60</v>
      </c>
      <c r="W210" s="7" t="s">
        <v>61</v>
      </c>
      <c r="X210" s="5" t="str">
        <f ca="1">IF(INDIRECT("W210")="Clássico","13%",IF(INDIRECT("W210")="Premium","17%","-"))</f>
        <v>13%</v>
      </c>
      <c r="Y210" s="7" t="s">
        <v>62</v>
      </c>
    </row>
    <row r="211" spans="1:25" ht="50" customHeight="1" x14ac:dyDescent="0.25">
      <c r="A211" s="5" t="s">
        <v>1086</v>
      </c>
      <c r="B211" s="5" t="s">
        <v>1087</v>
      </c>
      <c r="C211" s="5" t="s">
        <v>1088</v>
      </c>
      <c r="D211" s="5"/>
      <c r="E211" s="6" t="s">
        <v>1089</v>
      </c>
      <c r="F211" s="6" t="s">
        <v>1090</v>
      </c>
      <c r="G211" s="5" t="s">
        <v>1090</v>
      </c>
      <c r="H211" s="7">
        <v>12</v>
      </c>
      <c r="I211" s="7">
        <v>27.49</v>
      </c>
      <c r="J211" s="7" t="s">
        <v>58</v>
      </c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 t="s">
        <v>59</v>
      </c>
      <c r="V211" s="7" t="s">
        <v>60</v>
      </c>
      <c r="W211" s="7" t="s">
        <v>61</v>
      </c>
      <c r="X211" s="5" t="str">
        <f ca="1">IF(INDIRECT("W211")="Clássico","13%",IF(INDIRECT("W211")="Premium","17%","-"))</f>
        <v>13%</v>
      </c>
      <c r="Y211" s="7" t="s">
        <v>62</v>
      </c>
    </row>
    <row r="212" spans="1:25" ht="50" customHeight="1" x14ac:dyDescent="0.25">
      <c r="A212" s="5" t="s">
        <v>1091</v>
      </c>
      <c r="B212" s="5" t="s">
        <v>1092</v>
      </c>
      <c r="C212" s="5" t="s">
        <v>1093</v>
      </c>
      <c r="D212" s="5"/>
      <c r="E212" s="6" t="s">
        <v>1094</v>
      </c>
      <c r="F212" s="6" t="s">
        <v>1095</v>
      </c>
      <c r="G212" s="5" t="s">
        <v>1095</v>
      </c>
      <c r="H212" s="7">
        <v>12</v>
      </c>
      <c r="I212" s="7">
        <v>24.49</v>
      </c>
      <c r="J212" s="7" t="s">
        <v>58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 t="s">
        <v>59</v>
      </c>
      <c r="V212" s="7" t="s">
        <v>60</v>
      </c>
      <c r="W212" s="7" t="s">
        <v>61</v>
      </c>
      <c r="X212" s="5" t="str">
        <f ca="1">IF(INDIRECT("W212")="Clássico","13%",IF(INDIRECT("W212")="Premium","17%","-"))</f>
        <v>13%</v>
      </c>
      <c r="Y212" s="7" t="s">
        <v>62</v>
      </c>
    </row>
    <row r="213" spans="1:25" ht="50" customHeight="1" x14ac:dyDescent="0.25">
      <c r="A213" s="5" t="s">
        <v>1096</v>
      </c>
      <c r="B213" s="5" t="s">
        <v>1097</v>
      </c>
      <c r="C213" s="5" t="s">
        <v>1098</v>
      </c>
      <c r="D213" s="5"/>
      <c r="E213" s="6" t="s">
        <v>1099</v>
      </c>
      <c r="F213" s="6" t="s">
        <v>1100</v>
      </c>
      <c r="G213" s="5" t="s">
        <v>1100</v>
      </c>
      <c r="H213" s="7">
        <v>3</v>
      </c>
      <c r="I213" s="7">
        <v>39.49</v>
      </c>
      <c r="J213" s="7" t="s">
        <v>58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 t="s">
        <v>59</v>
      </c>
      <c r="V213" s="7" t="s">
        <v>60</v>
      </c>
      <c r="W213" s="7" t="s">
        <v>61</v>
      </c>
      <c r="X213" s="5" t="str">
        <f ca="1">IF(INDIRECT("W213")="Clássico","13%",IF(INDIRECT("W213")="Premium","17%","-"))</f>
        <v>13%</v>
      </c>
      <c r="Y213" s="7" t="s">
        <v>62</v>
      </c>
    </row>
    <row r="214" spans="1:25" ht="50" customHeight="1" x14ac:dyDescent="0.25">
      <c r="A214" s="5" t="s">
        <v>1101</v>
      </c>
      <c r="B214" s="5" t="s">
        <v>1102</v>
      </c>
      <c r="C214" s="5" t="s">
        <v>1103</v>
      </c>
      <c r="D214" s="5"/>
      <c r="E214" s="6" t="s">
        <v>1104</v>
      </c>
      <c r="F214" s="6" t="s">
        <v>1105</v>
      </c>
      <c r="G214" s="5" t="s">
        <v>1105</v>
      </c>
      <c r="H214" s="7">
        <v>8</v>
      </c>
      <c r="I214" s="7">
        <v>207.49</v>
      </c>
      <c r="J214" s="7" t="s">
        <v>58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 t="s">
        <v>59</v>
      </c>
      <c r="V214" s="7" t="s">
        <v>129</v>
      </c>
      <c r="W214" s="7" t="s">
        <v>84</v>
      </c>
      <c r="X214" s="5" t="str">
        <f ca="1">IF(INDIRECT("W214")="Clássico","14%",IF(INDIRECT("W214")="Premium","19%","-"))</f>
        <v>19%</v>
      </c>
      <c r="Y214" s="7" t="s">
        <v>62</v>
      </c>
    </row>
    <row r="215" spans="1:25" ht="50" customHeight="1" x14ac:dyDescent="0.25">
      <c r="A215" s="5" t="s">
        <v>1106</v>
      </c>
      <c r="B215" s="5" t="s">
        <v>1107</v>
      </c>
      <c r="C215" s="5" t="s">
        <v>1108</v>
      </c>
      <c r="D215" s="5"/>
      <c r="E215" s="6" t="s">
        <v>1109</v>
      </c>
      <c r="F215" s="6" t="s">
        <v>1110</v>
      </c>
      <c r="G215" s="5" t="s">
        <v>1110</v>
      </c>
      <c r="H215" s="7">
        <v>36</v>
      </c>
      <c r="I215" s="7">
        <v>26.49</v>
      </c>
      <c r="J215" s="7" t="s">
        <v>58</v>
      </c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 t="s">
        <v>59</v>
      </c>
      <c r="V215" s="7" t="s">
        <v>60</v>
      </c>
      <c r="W215" s="7" t="s">
        <v>61</v>
      </c>
      <c r="X215" s="5" t="str">
        <f ca="1">IF(INDIRECT("W215")="Clássico","13%",IF(INDIRECT("W215")="Premium","17%","-"))</f>
        <v>13%</v>
      </c>
      <c r="Y215" s="7" t="s">
        <v>62</v>
      </c>
    </row>
    <row r="216" spans="1:25" ht="50" customHeight="1" x14ac:dyDescent="0.25">
      <c r="A216" s="5" t="s">
        <v>1111</v>
      </c>
      <c r="B216" s="5" t="s">
        <v>1112</v>
      </c>
      <c r="C216" s="5" t="s">
        <v>1113</v>
      </c>
      <c r="D216" s="5"/>
      <c r="E216" s="6" t="s">
        <v>1114</v>
      </c>
      <c r="F216" s="6" t="s">
        <v>1115</v>
      </c>
      <c r="G216" s="5" t="s">
        <v>1115</v>
      </c>
      <c r="H216" s="7">
        <v>36</v>
      </c>
      <c r="I216" s="7">
        <v>28.49</v>
      </c>
      <c r="J216" s="7" t="s">
        <v>58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 t="s">
        <v>59</v>
      </c>
      <c r="V216" s="7" t="s">
        <v>60</v>
      </c>
      <c r="W216" s="7" t="s">
        <v>61</v>
      </c>
      <c r="X216" s="5" t="str">
        <f ca="1">IF(INDIRECT("W216")="Clássico","13%",IF(INDIRECT("W216")="Premium","17%","-"))</f>
        <v>13%</v>
      </c>
      <c r="Y216" s="7" t="s">
        <v>62</v>
      </c>
    </row>
    <row r="217" spans="1:25" ht="50" customHeight="1" x14ac:dyDescent="0.25">
      <c r="A217" s="5" t="s">
        <v>1116</v>
      </c>
      <c r="B217" s="5" t="s">
        <v>1117</v>
      </c>
      <c r="C217" s="5" t="s">
        <v>1118</v>
      </c>
      <c r="D217" s="5"/>
      <c r="E217" s="6" t="s">
        <v>1119</v>
      </c>
      <c r="F217" s="6" t="s">
        <v>1120</v>
      </c>
      <c r="G217" s="5" t="s">
        <v>1120</v>
      </c>
      <c r="H217" s="7">
        <v>4</v>
      </c>
      <c r="I217" s="7">
        <v>28.49</v>
      </c>
      <c r="J217" s="7" t="s">
        <v>58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 t="s">
        <v>59</v>
      </c>
      <c r="V217" s="7" t="s">
        <v>60</v>
      </c>
      <c r="W217" s="7" t="s">
        <v>61</v>
      </c>
      <c r="X217" s="5" t="str">
        <f ca="1">IF(INDIRECT("W217")="Clássico","13%",IF(INDIRECT("W217")="Premium","17%","-"))</f>
        <v>13%</v>
      </c>
      <c r="Y217" s="7" t="s">
        <v>62</v>
      </c>
    </row>
    <row r="218" spans="1:25" ht="50" customHeight="1" x14ac:dyDescent="0.25">
      <c r="A218" s="5" t="s">
        <v>1121</v>
      </c>
      <c r="B218" s="5" t="s">
        <v>1122</v>
      </c>
      <c r="C218" s="5" t="s">
        <v>1123</v>
      </c>
      <c r="D218" s="5"/>
      <c r="E218" s="6" t="s">
        <v>1124</v>
      </c>
      <c r="F218" s="6" t="s">
        <v>1125</v>
      </c>
      <c r="G218" s="5" t="s">
        <v>1125</v>
      </c>
      <c r="H218" s="7">
        <v>6</v>
      </c>
      <c r="I218" s="7">
        <v>26.49</v>
      </c>
      <c r="J218" s="7" t="s">
        <v>58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 t="s">
        <v>59</v>
      </c>
      <c r="V218" s="7" t="s">
        <v>60</v>
      </c>
      <c r="W218" s="7" t="s">
        <v>61</v>
      </c>
      <c r="X218" s="5" t="str">
        <f ca="1">IF(INDIRECT("W218")="Clássico","13%",IF(INDIRECT("W218")="Premium","17%","-"))</f>
        <v>13%</v>
      </c>
      <c r="Y218" s="7" t="s">
        <v>62</v>
      </c>
    </row>
    <row r="219" spans="1:25" ht="50" customHeight="1" x14ac:dyDescent="0.25">
      <c r="A219" s="5" t="s">
        <v>278</v>
      </c>
      <c r="B219" s="5" t="s">
        <v>1126</v>
      </c>
      <c r="C219" s="5" t="s">
        <v>280</v>
      </c>
      <c r="D219" s="5"/>
      <c r="E219" s="6" t="s">
        <v>281</v>
      </c>
      <c r="F219" s="6" t="s">
        <v>282</v>
      </c>
      <c r="G219" s="5" t="s">
        <v>282</v>
      </c>
      <c r="H219" s="7">
        <v>9</v>
      </c>
      <c r="I219" s="7">
        <v>110.49</v>
      </c>
      <c r="J219" s="7" t="s">
        <v>58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 t="s">
        <v>59</v>
      </c>
      <c r="V219" s="7" t="s">
        <v>129</v>
      </c>
      <c r="W219" s="7" t="s">
        <v>84</v>
      </c>
      <c r="X219" s="5" t="str">
        <f ca="1">IF(INDIRECT("W219")="Clássico","12%",IF(INDIRECT("W219")="Premium","17%","-"))</f>
        <v>17%</v>
      </c>
      <c r="Y219" s="7" t="s">
        <v>62</v>
      </c>
    </row>
    <row r="220" spans="1:25" ht="50" customHeight="1" x14ac:dyDescent="0.25">
      <c r="A220" s="5" t="s">
        <v>1127</v>
      </c>
      <c r="B220" s="5" t="s">
        <v>1128</v>
      </c>
      <c r="C220" s="5" t="s">
        <v>1129</v>
      </c>
      <c r="D220" s="5"/>
      <c r="E220" s="6" t="s">
        <v>1130</v>
      </c>
      <c r="F220" s="6" t="s">
        <v>1131</v>
      </c>
      <c r="G220" s="5" t="s">
        <v>1131</v>
      </c>
      <c r="H220" s="7">
        <v>12</v>
      </c>
      <c r="I220" s="7">
        <v>26.49</v>
      </c>
      <c r="J220" s="7" t="s">
        <v>58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 t="s">
        <v>59</v>
      </c>
      <c r="V220" s="7" t="s">
        <v>101</v>
      </c>
      <c r="W220" s="7" t="s">
        <v>61</v>
      </c>
      <c r="X220" s="5" t="str">
        <f ca="1">IF(INDIRECT("W220")="Clássico","13%",IF(INDIRECT("W220")="Premium","17%","-"))</f>
        <v>13%</v>
      </c>
      <c r="Y220" s="7" t="s">
        <v>62</v>
      </c>
    </row>
    <row r="221" spans="1:25" ht="50" customHeight="1" x14ac:dyDescent="0.25">
      <c r="A221" s="5" t="s">
        <v>1132</v>
      </c>
      <c r="B221" s="5" t="s">
        <v>1133</v>
      </c>
      <c r="C221" s="5" t="s">
        <v>1134</v>
      </c>
      <c r="D221" s="5"/>
      <c r="E221" s="6" t="s">
        <v>1135</v>
      </c>
      <c r="F221" s="6" t="s">
        <v>1136</v>
      </c>
      <c r="G221" s="5" t="s">
        <v>1136</v>
      </c>
      <c r="H221" s="7">
        <v>36</v>
      </c>
      <c r="I221" s="7">
        <v>26.49</v>
      </c>
      <c r="J221" s="7" t="s">
        <v>58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 t="s">
        <v>59</v>
      </c>
      <c r="V221" s="7" t="s">
        <v>60</v>
      </c>
      <c r="W221" s="7" t="s">
        <v>61</v>
      </c>
      <c r="X221" s="5" t="str">
        <f ca="1">IF(INDIRECT("W221")="Clássico","13%",IF(INDIRECT("W221")="Premium","17%","-"))</f>
        <v>13%</v>
      </c>
      <c r="Y221" s="7" t="s">
        <v>62</v>
      </c>
    </row>
    <row r="222" spans="1:25" ht="50" customHeight="1" x14ac:dyDescent="0.25">
      <c r="A222" s="5" t="s">
        <v>1137</v>
      </c>
      <c r="B222" s="5" t="s">
        <v>1138</v>
      </c>
      <c r="C222" s="5" t="s">
        <v>1139</v>
      </c>
      <c r="D222" s="5"/>
      <c r="E222" s="6" t="s">
        <v>1140</v>
      </c>
      <c r="F222" s="6" t="s">
        <v>1141</v>
      </c>
      <c r="G222" s="5" t="s">
        <v>1141</v>
      </c>
      <c r="H222" s="7">
        <v>36</v>
      </c>
      <c r="I222" s="7">
        <v>26.49</v>
      </c>
      <c r="J222" s="7" t="s">
        <v>58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 t="s">
        <v>59</v>
      </c>
      <c r="V222" s="7" t="s">
        <v>60</v>
      </c>
      <c r="W222" s="7" t="s">
        <v>61</v>
      </c>
      <c r="X222" s="5" t="str">
        <f ca="1">IF(INDIRECT("W222")="Clássico","13%",IF(INDIRECT("W222")="Premium","17%","-"))</f>
        <v>13%</v>
      </c>
      <c r="Y222" s="7" t="s">
        <v>62</v>
      </c>
    </row>
    <row r="223" spans="1:25" ht="50" customHeight="1" x14ac:dyDescent="0.25">
      <c r="A223" s="5" t="s">
        <v>1142</v>
      </c>
      <c r="B223" s="5" t="s">
        <v>1143</v>
      </c>
      <c r="C223" s="5" t="s">
        <v>1144</v>
      </c>
      <c r="D223" s="5"/>
      <c r="E223" s="6" t="s">
        <v>1145</v>
      </c>
      <c r="F223" s="6" t="s">
        <v>1146</v>
      </c>
      <c r="G223" s="5" t="s">
        <v>1146</v>
      </c>
      <c r="H223" s="7">
        <v>36</v>
      </c>
      <c r="I223" s="7">
        <v>28.49</v>
      </c>
      <c r="J223" s="7" t="s">
        <v>58</v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 t="s">
        <v>59</v>
      </c>
      <c r="V223" s="7" t="s">
        <v>60</v>
      </c>
      <c r="W223" s="7" t="s">
        <v>61</v>
      </c>
      <c r="X223" s="5" t="str">
        <f ca="1">IF(INDIRECT("W223")="Clássico","13%",IF(INDIRECT("W223")="Premium","17%","-"))</f>
        <v>13%</v>
      </c>
      <c r="Y223" s="7" t="s">
        <v>62</v>
      </c>
    </row>
    <row r="224" spans="1:25" ht="50" customHeight="1" x14ac:dyDescent="0.25">
      <c r="A224" s="5" t="s">
        <v>1147</v>
      </c>
      <c r="B224" s="5" t="s">
        <v>1148</v>
      </c>
      <c r="C224" s="5" t="s">
        <v>1149</v>
      </c>
      <c r="D224" s="5"/>
      <c r="E224" s="6" t="s">
        <v>1150</v>
      </c>
      <c r="F224" s="6" t="s">
        <v>1151</v>
      </c>
      <c r="G224" s="5" t="s">
        <v>1151</v>
      </c>
      <c r="H224" s="7">
        <v>12</v>
      </c>
      <c r="I224" s="7">
        <v>48.49</v>
      </c>
      <c r="J224" s="7" t="s">
        <v>58</v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 t="s">
        <v>59</v>
      </c>
      <c r="V224" s="7" t="s">
        <v>60</v>
      </c>
      <c r="W224" s="7" t="s">
        <v>61</v>
      </c>
      <c r="X224" s="5" t="str">
        <f ca="1">IF(INDIRECT("W224")="Clássico","13%",IF(INDIRECT("W224")="Premium","17%","-"))</f>
        <v>13%</v>
      </c>
      <c r="Y224" s="7" t="s">
        <v>62</v>
      </c>
    </row>
    <row r="225" spans="1:25" ht="50" customHeight="1" x14ac:dyDescent="0.25">
      <c r="A225" s="5" t="s">
        <v>1152</v>
      </c>
      <c r="B225" s="5" t="s">
        <v>1153</v>
      </c>
      <c r="C225" s="5" t="s">
        <v>1154</v>
      </c>
      <c r="D225" s="5"/>
      <c r="E225" s="6" t="s">
        <v>1155</v>
      </c>
      <c r="F225" s="6" t="s">
        <v>1156</v>
      </c>
      <c r="G225" s="5" t="s">
        <v>1156</v>
      </c>
      <c r="H225" s="7">
        <v>3</v>
      </c>
      <c r="I225" s="7">
        <v>43.49</v>
      </c>
      <c r="J225" s="7" t="s">
        <v>58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 t="s">
        <v>59</v>
      </c>
      <c r="V225" s="7" t="s">
        <v>60</v>
      </c>
      <c r="W225" s="7" t="s">
        <v>61</v>
      </c>
      <c r="X225" s="5" t="str">
        <f ca="1">IF(INDIRECT("W225")="Clássico","13%",IF(INDIRECT("W225")="Premium","17%","-"))</f>
        <v>13%</v>
      </c>
      <c r="Y225" s="7" t="s">
        <v>62</v>
      </c>
    </row>
    <row r="226" spans="1:25" ht="50" customHeight="1" x14ac:dyDescent="0.25">
      <c r="A226" s="5" t="s">
        <v>1157</v>
      </c>
      <c r="B226" s="5" t="s">
        <v>1158</v>
      </c>
      <c r="C226" s="5" t="s">
        <v>1159</v>
      </c>
      <c r="D226" s="5"/>
      <c r="E226" s="6" t="s">
        <v>1160</v>
      </c>
      <c r="F226" s="6" t="s">
        <v>1161</v>
      </c>
      <c r="G226" s="5" t="s">
        <v>1161</v>
      </c>
      <c r="H226" s="7">
        <v>23</v>
      </c>
      <c r="I226" s="7">
        <v>127</v>
      </c>
      <c r="J226" s="7" t="s">
        <v>58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5" t="s">
        <v>59</v>
      </c>
      <c r="V226" s="7" t="s">
        <v>129</v>
      </c>
      <c r="W226" s="7" t="s">
        <v>84</v>
      </c>
      <c r="X226" s="5" t="str">
        <f ca="1">IF(INDIRECT("W226")="Clássico","14%",IF(INDIRECT("W226")="Premium","19%","-"))</f>
        <v>19%</v>
      </c>
      <c r="Y226" s="7" t="s">
        <v>62</v>
      </c>
    </row>
    <row r="227" spans="1:25" ht="50" customHeight="1" x14ac:dyDescent="0.25">
      <c r="A227" s="5" t="s">
        <v>1162</v>
      </c>
      <c r="B227" s="5" t="s">
        <v>1163</v>
      </c>
      <c r="C227" s="5" t="s">
        <v>1164</v>
      </c>
      <c r="D227" s="5"/>
      <c r="E227" s="6" t="s">
        <v>1165</v>
      </c>
      <c r="F227" s="6" t="s">
        <v>1166</v>
      </c>
      <c r="G227" s="5" t="s">
        <v>1166</v>
      </c>
      <c r="H227" s="7">
        <v>4</v>
      </c>
      <c r="I227" s="7">
        <v>89.49</v>
      </c>
      <c r="J227" s="7" t="s">
        <v>58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 t="s">
        <v>59</v>
      </c>
      <c r="V227" s="7" t="s">
        <v>129</v>
      </c>
      <c r="W227" s="7" t="s">
        <v>61</v>
      </c>
      <c r="X227" s="5" t="str">
        <f ca="1">IF(INDIRECT("W227")="Clássico","12%",IF(INDIRECT("W227")="Premium","17%","-"))</f>
        <v>12%</v>
      </c>
      <c r="Y227" s="7" t="s">
        <v>62</v>
      </c>
    </row>
    <row r="228" spans="1:25" ht="50" customHeight="1" x14ac:dyDescent="0.25">
      <c r="A228" s="5" t="s">
        <v>1167</v>
      </c>
      <c r="B228" s="5" t="s">
        <v>1168</v>
      </c>
      <c r="C228" s="5" t="s">
        <v>1169</v>
      </c>
      <c r="D228" s="5"/>
      <c r="E228" s="6" t="s">
        <v>1170</v>
      </c>
      <c r="F228" s="6" t="s">
        <v>1171</v>
      </c>
      <c r="G228" s="5" t="s">
        <v>1171</v>
      </c>
      <c r="H228" s="7">
        <v>12</v>
      </c>
      <c r="I228" s="7">
        <v>68.489999999999995</v>
      </c>
      <c r="J228" s="7" t="s">
        <v>58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 t="s">
        <v>59</v>
      </c>
      <c r="V228" s="7" t="s">
        <v>60</v>
      </c>
      <c r="W228" s="7" t="s">
        <v>61</v>
      </c>
      <c r="X228" s="5" t="str">
        <f ca="1">IF(INDIRECT("W228")="Clássico","14%",IF(INDIRECT("W228")="Premium","19%","-"))</f>
        <v>14%</v>
      </c>
      <c r="Y228" s="7" t="s">
        <v>62</v>
      </c>
    </row>
    <row r="229" spans="1:25" ht="50" customHeight="1" x14ac:dyDescent="0.25">
      <c r="A229" s="5" t="s">
        <v>1172</v>
      </c>
      <c r="B229" s="5" t="s">
        <v>1173</v>
      </c>
      <c r="C229" s="5" t="s">
        <v>1174</v>
      </c>
      <c r="D229" s="5"/>
      <c r="E229" s="6" t="s">
        <v>1175</v>
      </c>
      <c r="F229" s="6" t="s">
        <v>1176</v>
      </c>
      <c r="G229" s="5" t="s">
        <v>1176</v>
      </c>
      <c r="H229" s="7">
        <v>7</v>
      </c>
      <c r="I229" s="7">
        <v>79.7</v>
      </c>
      <c r="J229" s="7" t="s">
        <v>58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 t="s">
        <v>59</v>
      </c>
      <c r="V229" s="7" t="s">
        <v>129</v>
      </c>
      <c r="W229" s="7" t="s">
        <v>61</v>
      </c>
      <c r="X229" s="5" t="str">
        <f ca="1">IF(INDIRECT("W229")="Clássico","14%",IF(INDIRECT("W229")="Premium","19%","-"))</f>
        <v>14%</v>
      </c>
      <c r="Y229" s="7" t="s">
        <v>62</v>
      </c>
    </row>
    <row r="230" spans="1:25" ht="50" customHeight="1" x14ac:dyDescent="0.25">
      <c r="A230" s="5" t="s">
        <v>1177</v>
      </c>
      <c r="B230" s="5" t="s">
        <v>1178</v>
      </c>
      <c r="C230" s="5" t="s">
        <v>1179</v>
      </c>
      <c r="D230" s="5"/>
      <c r="E230" s="6" t="s">
        <v>1180</v>
      </c>
      <c r="F230" s="6" t="s">
        <v>1181</v>
      </c>
      <c r="G230" s="5" t="s">
        <v>1181</v>
      </c>
      <c r="H230" s="7">
        <v>10</v>
      </c>
      <c r="I230" s="7">
        <v>70.489999999999995</v>
      </c>
      <c r="J230" s="7" t="s">
        <v>58</v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 t="s">
        <v>59</v>
      </c>
      <c r="V230" s="7" t="s">
        <v>101</v>
      </c>
      <c r="W230" s="7" t="s">
        <v>61</v>
      </c>
      <c r="X230" s="5" t="str">
        <f ca="1">IF(INDIRECT("W230")="Clássico","13%",IF(INDIRECT("W230")="Premium","17%","-"))</f>
        <v>13%</v>
      </c>
      <c r="Y230" s="7" t="s">
        <v>62</v>
      </c>
    </row>
    <row r="231" spans="1:25" ht="50" customHeight="1" x14ac:dyDescent="0.25">
      <c r="A231" s="5" t="s">
        <v>1182</v>
      </c>
      <c r="B231" s="5" t="s">
        <v>1183</v>
      </c>
      <c r="C231" s="5" t="s">
        <v>1184</v>
      </c>
      <c r="D231" s="5"/>
      <c r="E231" s="6" t="s">
        <v>1185</v>
      </c>
      <c r="F231" s="6" t="s">
        <v>1186</v>
      </c>
      <c r="G231" s="5" t="s">
        <v>1186</v>
      </c>
      <c r="H231" s="7">
        <v>20</v>
      </c>
      <c r="I231" s="7">
        <v>20.49</v>
      </c>
      <c r="J231" s="7" t="s">
        <v>58</v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 t="s">
        <v>59</v>
      </c>
      <c r="V231" s="7" t="s">
        <v>60</v>
      </c>
      <c r="W231" s="7" t="s">
        <v>61</v>
      </c>
      <c r="X231" s="5" t="str">
        <f ca="1">IF(INDIRECT("W231")="Clássico","13%",IF(INDIRECT("W231")="Premium","17%","-"))</f>
        <v>13%</v>
      </c>
      <c r="Y231" s="7" t="s">
        <v>62</v>
      </c>
    </row>
    <row r="232" spans="1:25" ht="50" customHeight="1" x14ac:dyDescent="0.25">
      <c r="A232" s="5" t="s">
        <v>1187</v>
      </c>
      <c r="B232" s="5" t="s">
        <v>1188</v>
      </c>
      <c r="C232" s="5" t="s">
        <v>1189</v>
      </c>
      <c r="D232" s="5"/>
      <c r="E232" s="6" t="s">
        <v>1190</v>
      </c>
      <c r="F232" s="6" t="s">
        <v>1191</v>
      </c>
      <c r="G232" s="5" t="s">
        <v>1191</v>
      </c>
      <c r="H232" s="7">
        <v>3</v>
      </c>
      <c r="I232" s="7">
        <v>201</v>
      </c>
      <c r="J232" s="7" t="s">
        <v>58</v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 t="s">
        <v>59</v>
      </c>
      <c r="V232" s="7" t="s">
        <v>129</v>
      </c>
      <c r="W232" s="7" t="s">
        <v>84</v>
      </c>
      <c r="X232" s="5" t="str">
        <f ca="1">IF(INDIRECT("W232")="Clássico","14%",IF(INDIRECT("W232")="Premium","19%","-"))</f>
        <v>19%</v>
      </c>
      <c r="Y232" s="7" t="s">
        <v>62</v>
      </c>
    </row>
    <row r="233" spans="1:25" ht="50" customHeight="1" x14ac:dyDescent="0.25">
      <c r="A233" s="5" t="s">
        <v>1192</v>
      </c>
      <c r="B233" s="5" t="s">
        <v>1193</v>
      </c>
      <c r="C233" s="5" t="s">
        <v>1194</v>
      </c>
      <c r="D233" s="5"/>
      <c r="E233" s="6" t="s">
        <v>1195</v>
      </c>
      <c r="F233" s="6" t="s">
        <v>1196</v>
      </c>
      <c r="G233" s="5" t="s">
        <v>1196</v>
      </c>
      <c r="H233" s="7">
        <v>6</v>
      </c>
      <c r="I233" s="7">
        <v>112</v>
      </c>
      <c r="J233" s="7" t="s">
        <v>58</v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5" t="s">
        <v>59</v>
      </c>
      <c r="V233" s="7" t="s">
        <v>129</v>
      </c>
      <c r="W233" s="7" t="s">
        <v>84</v>
      </c>
      <c r="X233" s="5" t="str">
        <f ca="1">IF(INDIRECT("W233")="Clássico","14%",IF(INDIRECT("W233")="Premium","19%","-"))</f>
        <v>19%</v>
      </c>
      <c r="Y233" s="7" t="s">
        <v>62</v>
      </c>
    </row>
    <row r="234" spans="1:25" ht="50" customHeight="1" x14ac:dyDescent="0.25">
      <c r="A234" s="5" t="s">
        <v>1197</v>
      </c>
      <c r="B234" s="5" t="s">
        <v>1198</v>
      </c>
      <c r="C234" s="5" t="s">
        <v>1199</v>
      </c>
      <c r="D234" s="5"/>
      <c r="E234" s="6" t="s">
        <v>1200</v>
      </c>
      <c r="F234" s="6" t="s">
        <v>1201</v>
      </c>
      <c r="G234" s="5" t="s">
        <v>1201</v>
      </c>
      <c r="H234" s="7">
        <v>10</v>
      </c>
      <c r="I234" s="7">
        <v>27.49</v>
      </c>
      <c r="J234" s="7" t="s">
        <v>58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 t="s">
        <v>59</v>
      </c>
      <c r="V234" s="7" t="s">
        <v>60</v>
      </c>
      <c r="W234" s="7" t="s">
        <v>61</v>
      </c>
      <c r="X234" s="5" t="str">
        <f ca="1">IF(INDIRECT("W234")="Clássico","13%",IF(INDIRECT("W234")="Premium","17%","-"))</f>
        <v>13%</v>
      </c>
      <c r="Y234" s="7" t="s">
        <v>62</v>
      </c>
    </row>
    <row r="235" spans="1:25" ht="50" customHeight="1" x14ac:dyDescent="0.25">
      <c r="A235" s="5" t="s">
        <v>1202</v>
      </c>
      <c r="B235" s="5" t="s">
        <v>1203</v>
      </c>
      <c r="C235" s="5" t="s">
        <v>1204</v>
      </c>
      <c r="D235" s="5"/>
      <c r="E235" s="6" t="s">
        <v>1205</v>
      </c>
      <c r="F235" s="6" t="s">
        <v>1206</v>
      </c>
      <c r="G235" s="5" t="s">
        <v>1206</v>
      </c>
      <c r="H235" s="7">
        <v>8</v>
      </c>
      <c r="I235" s="7">
        <v>18.489999999999998</v>
      </c>
      <c r="J235" s="7" t="s">
        <v>58</v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5" t="s">
        <v>59</v>
      </c>
      <c r="V235" s="7" t="s">
        <v>60</v>
      </c>
      <c r="W235" s="7" t="s">
        <v>61</v>
      </c>
      <c r="X235" s="5" t="str">
        <f ca="1">IF(INDIRECT("W235")="Clássico","14%",IF(INDIRECT("W235")="Premium","19%","-"))</f>
        <v>14%</v>
      </c>
      <c r="Y235" s="7" t="s">
        <v>62</v>
      </c>
    </row>
    <row r="236" spans="1:25" ht="50" customHeight="1" x14ac:dyDescent="0.25">
      <c r="A236" s="5" t="s">
        <v>1207</v>
      </c>
      <c r="B236" s="5" t="s">
        <v>1208</v>
      </c>
      <c r="C236" s="5" t="s">
        <v>1209</v>
      </c>
      <c r="D236" s="5"/>
      <c r="E236" s="6" t="s">
        <v>1210</v>
      </c>
      <c r="F236" s="6" t="s">
        <v>1211</v>
      </c>
      <c r="G236" s="5" t="s">
        <v>1211</v>
      </c>
      <c r="H236" s="7">
        <v>11</v>
      </c>
      <c r="I236" s="7">
        <v>25.49</v>
      </c>
      <c r="J236" s="7" t="s">
        <v>58</v>
      </c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 t="s">
        <v>59</v>
      </c>
      <c r="V236" s="7" t="s">
        <v>60</v>
      </c>
      <c r="W236" s="7" t="s">
        <v>61</v>
      </c>
      <c r="X236" s="5" t="str">
        <f ca="1">IF(INDIRECT("W236")="Clássico","13%",IF(INDIRECT("W236")="Premium","17%","-"))</f>
        <v>13%</v>
      </c>
      <c r="Y236" s="7" t="s">
        <v>62</v>
      </c>
    </row>
    <row r="237" spans="1:25" ht="50" customHeight="1" x14ac:dyDescent="0.25">
      <c r="A237" s="5" t="s">
        <v>1212</v>
      </c>
      <c r="B237" s="5" t="s">
        <v>1213</v>
      </c>
      <c r="C237" s="5" t="s">
        <v>1214</v>
      </c>
      <c r="D237" s="5"/>
      <c r="E237" s="6" t="s">
        <v>1215</v>
      </c>
      <c r="F237" s="6" t="s">
        <v>1216</v>
      </c>
      <c r="G237" s="5" t="s">
        <v>1216</v>
      </c>
      <c r="H237" s="7">
        <v>441</v>
      </c>
      <c r="I237" s="7">
        <v>103.49</v>
      </c>
      <c r="J237" s="7" t="s">
        <v>58</v>
      </c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5" t="s">
        <v>59</v>
      </c>
      <c r="V237" s="7" t="s">
        <v>129</v>
      </c>
      <c r="W237" s="7" t="s">
        <v>84</v>
      </c>
      <c r="X237" s="5" t="str">
        <f ca="1">IF(INDIRECT("W237")="Clássico","14%",IF(INDIRECT("W237")="Premium","19%","-"))</f>
        <v>19%</v>
      </c>
      <c r="Y237" s="7" t="s">
        <v>62</v>
      </c>
    </row>
    <row r="238" spans="1:25" ht="50" customHeight="1" x14ac:dyDescent="0.25">
      <c r="A238" s="5" t="s">
        <v>1217</v>
      </c>
      <c r="B238" s="5" t="s">
        <v>1218</v>
      </c>
      <c r="C238" s="5" t="s">
        <v>1219</v>
      </c>
      <c r="D238" s="5"/>
      <c r="E238" s="6" t="s">
        <v>1220</v>
      </c>
      <c r="F238" s="6" t="s">
        <v>1221</v>
      </c>
      <c r="G238" s="5" t="s">
        <v>1221</v>
      </c>
      <c r="H238" s="7">
        <v>8</v>
      </c>
      <c r="I238" s="7">
        <v>101</v>
      </c>
      <c r="J238" s="7" t="s">
        <v>58</v>
      </c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5" t="s">
        <v>59</v>
      </c>
      <c r="V238" s="7" t="s">
        <v>129</v>
      </c>
      <c r="W238" s="7" t="s">
        <v>84</v>
      </c>
      <c r="X238" s="5" t="str">
        <f ca="1">IF(INDIRECT("W238")="Clássico","14%",IF(INDIRECT("W238")="Premium","19%","-"))</f>
        <v>19%</v>
      </c>
      <c r="Y238" s="7" t="s">
        <v>62</v>
      </c>
    </row>
    <row r="239" spans="1:25" ht="50" customHeight="1" x14ac:dyDescent="0.25">
      <c r="A239" s="5" t="s">
        <v>1222</v>
      </c>
      <c r="B239" s="5" t="s">
        <v>1223</v>
      </c>
      <c r="C239" s="5" t="s">
        <v>1224</v>
      </c>
      <c r="D239" s="5"/>
      <c r="E239" s="6" t="s">
        <v>1225</v>
      </c>
      <c r="F239" s="6" t="s">
        <v>1226</v>
      </c>
      <c r="G239" s="5" t="s">
        <v>1226</v>
      </c>
      <c r="H239" s="7">
        <v>12</v>
      </c>
      <c r="I239" s="7">
        <v>68.489999999999995</v>
      </c>
      <c r="J239" s="7" t="s">
        <v>58</v>
      </c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5" t="s">
        <v>59</v>
      </c>
      <c r="V239" s="7" t="s">
        <v>60</v>
      </c>
      <c r="W239" s="7" t="s">
        <v>61</v>
      </c>
      <c r="X239" s="5" t="str">
        <f ca="1">IF(INDIRECT("W239")="Clássico","14%",IF(INDIRECT("W239")="Premium","19%","-"))</f>
        <v>14%</v>
      </c>
      <c r="Y239" s="7" t="s">
        <v>62</v>
      </c>
    </row>
    <row r="240" spans="1:25" ht="50" customHeight="1" x14ac:dyDescent="0.25">
      <c r="A240" s="5" t="s">
        <v>1227</v>
      </c>
      <c r="B240" s="5" t="s">
        <v>1228</v>
      </c>
      <c r="C240" s="5" t="s">
        <v>1229</v>
      </c>
      <c r="D240" s="5"/>
      <c r="E240" s="6" t="s">
        <v>1230</v>
      </c>
      <c r="F240" s="6" t="s">
        <v>1231</v>
      </c>
      <c r="G240" s="5" t="s">
        <v>1231</v>
      </c>
      <c r="H240" s="7">
        <v>24</v>
      </c>
      <c r="I240" s="7">
        <v>51.49</v>
      </c>
      <c r="J240" s="7" t="s">
        <v>58</v>
      </c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 t="s">
        <v>59</v>
      </c>
      <c r="V240" s="7" t="s">
        <v>60</v>
      </c>
      <c r="W240" s="7" t="s">
        <v>61</v>
      </c>
      <c r="X240" s="5" t="str">
        <f ca="1">IF(INDIRECT("W240")="Clássico","13%",IF(INDIRECT("W240")="Premium","17%","-"))</f>
        <v>13%</v>
      </c>
      <c r="Y240" s="7" t="s">
        <v>62</v>
      </c>
    </row>
    <row r="241" spans="1:25" ht="50" customHeight="1" x14ac:dyDescent="0.25">
      <c r="A241" s="5" t="s">
        <v>1232</v>
      </c>
      <c r="B241" s="5" t="s">
        <v>1233</v>
      </c>
      <c r="C241" s="5" t="s">
        <v>1234</v>
      </c>
      <c r="D241" s="5"/>
      <c r="E241" s="6" t="s">
        <v>1235</v>
      </c>
      <c r="F241" s="6" t="s">
        <v>1236</v>
      </c>
      <c r="G241" s="5" t="s">
        <v>1236</v>
      </c>
      <c r="H241" s="7">
        <v>12</v>
      </c>
      <c r="I241" s="7">
        <v>25.49</v>
      </c>
      <c r="J241" s="7" t="s">
        <v>58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 t="s">
        <v>59</v>
      </c>
      <c r="V241" s="7" t="s">
        <v>60</v>
      </c>
      <c r="W241" s="7" t="s">
        <v>61</v>
      </c>
      <c r="X241" s="5" t="str">
        <f ca="1">IF(INDIRECT("W241")="Clássico","13%",IF(INDIRECT("W241")="Premium","17%","-"))</f>
        <v>13%</v>
      </c>
      <c r="Y241" s="7" t="s">
        <v>62</v>
      </c>
    </row>
    <row r="242" spans="1:25" ht="50" customHeight="1" x14ac:dyDescent="0.25">
      <c r="A242" s="5" t="s">
        <v>1237</v>
      </c>
      <c r="B242" s="5" t="s">
        <v>1238</v>
      </c>
      <c r="C242" s="5" t="s">
        <v>1239</v>
      </c>
      <c r="D242" s="5"/>
      <c r="E242" s="6" t="s">
        <v>1240</v>
      </c>
      <c r="F242" s="6" t="s">
        <v>1241</v>
      </c>
      <c r="G242" s="5" t="s">
        <v>1241</v>
      </c>
      <c r="H242" s="7">
        <v>24</v>
      </c>
      <c r="I242" s="7">
        <v>28.49</v>
      </c>
      <c r="J242" s="7" t="s">
        <v>58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 t="s">
        <v>59</v>
      </c>
      <c r="V242" s="7" t="s">
        <v>60</v>
      </c>
      <c r="W242" s="7" t="s">
        <v>61</v>
      </c>
      <c r="X242" s="5" t="str">
        <f ca="1">IF(INDIRECT("W242")="Clássico","13%",IF(INDIRECT("W242")="Premium","17%","-"))</f>
        <v>13%</v>
      </c>
      <c r="Y242" s="7" t="s">
        <v>62</v>
      </c>
    </row>
    <row r="243" spans="1:25" ht="50" customHeight="1" x14ac:dyDescent="0.25">
      <c r="A243" s="5" t="s">
        <v>1242</v>
      </c>
      <c r="B243" s="5" t="s">
        <v>1243</v>
      </c>
      <c r="C243" s="5" t="s">
        <v>1244</v>
      </c>
      <c r="D243" s="5"/>
      <c r="E243" s="6" t="s">
        <v>1245</v>
      </c>
      <c r="F243" s="6" t="s">
        <v>1246</v>
      </c>
      <c r="G243" s="5" t="s">
        <v>1246</v>
      </c>
      <c r="H243" s="7">
        <v>450</v>
      </c>
      <c r="I243" s="7">
        <v>39.49</v>
      </c>
      <c r="J243" s="7" t="s">
        <v>58</v>
      </c>
      <c r="K243" s="7">
        <v>49.99</v>
      </c>
      <c r="L243" s="7">
        <v>3</v>
      </c>
      <c r="M243" s="7"/>
      <c r="N243" s="7"/>
      <c r="O243" s="7"/>
      <c r="P243" s="7"/>
      <c r="Q243" s="7"/>
      <c r="R243" s="7"/>
      <c r="S243" s="7"/>
      <c r="T243" s="7"/>
      <c r="U243" s="5" t="s">
        <v>59</v>
      </c>
      <c r="V243" s="7" t="s">
        <v>60</v>
      </c>
      <c r="W243" s="7" t="s">
        <v>61</v>
      </c>
      <c r="X243" s="5" t="str">
        <f ca="1">IF(INDIRECT("W243")="Clássico","14%",IF(INDIRECT("W243")="Premium","19%","-"))</f>
        <v>14%</v>
      </c>
      <c r="Y243" s="7" t="s">
        <v>62</v>
      </c>
    </row>
    <row r="244" spans="1:25" ht="50" customHeight="1" x14ac:dyDescent="0.25">
      <c r="A244" s="5" t="s">
        <v>1247</v>
      </c>
      <c r="B244" s="5" t="s">
        <v>1248</v>
      </c>
      <c r="C244" s="5" t="s">
        <v>1249</v>
      </c>
      <c r="D244" s="5"/>
      <c r="E244" s="6" t="s">
        <v>1250</v>
      </c>
      <c r="F244" s="6" t="s">
        <v>1251</v>
      </c>
      <c r="G244" s="5" t="s">
        <v>1251</v>
      </c>
      <c r="H244" s="7">
        <v>12</v>
      </c>
      <c r="I244" s="7">
        <v>26.49</v>
      </c>
      <c r="J244" s="7" t="s">
        <v>58</v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 t="s">
        <v>59</v>
      </c>
      <c r="V244" s="7" t="s">
        <v>101</v>
      </c>
      <c r="W244" s="7" t="s">
        <v>61</v>
      </c>
      <c r="X244" s="5" t="str">
        <f ca="1">IF(INDIRECT("W244")="Clássico","13%",IF(INDIRECT("W244")="Premium","17%","-"))</f>
        <v>13%</v>
      </c>
      <c r="Y244" s="7" t="s">
        <v>62</v>
      </c>
    </row>
    <row r="245" spans="1:25" ht="50" customHeight="1" x14ac:dyDescent="0.25">
      <c r="A245" s="5" t="s">
        <v>1252</v>
      </c>
      <c r="B245" s="5" t="s">
        <v>1253</v>
      </c>
      <c r="C245" s="5" t="s">
        <v>1254</v>
      </c>
      <c r="D245" s="5"/>
      <c r="E245" s="6" t="s">
        <v>1255</v>
      </c>
      <c r="F245" s="6" t="s">
        <v>1256</v>
      </c>
      <c r="G245" s="5" t="s">
        <v>1256</v>
      </c>
      <c r="H245" s="7">
        <v>10</v>
      </c>
      <c r="I245" s="7">
        <v>26.49</v>
      </c>
      <c r="J245" s="7" t="s">
        <v>58</v>
      </c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 t="s">
        <v>59</v>
      </c>
      <c r="V245" s="7" t="s">
        <v>101</v>
      </c>
      <c r="W245" s="7" t="s">
        <v>61</v>
      </c>
      <c r="X245" s="5" t="str">
        <f ca="1">IF(INDIRECT("W245")="Clássico","13%",IF(INDIRECT("W245")="Premium","17%","-"))</f>
        <v>13%</v>
      </c>
      <c r="Y245" s="7" t="s">
        <v>62</v>
      </c>
    </row>
    <row r="246" spans="1:25" ht="50" customHeight="1" x14ac:dyDescent="0.25">
      <c r="A246" s="5" t="s">
        <v>1257</v>
      </c>
      <c r="B246" s="5" t="s">
        <v>1258</v>
      </c>
      <c r="C246" s="5" t="s">
        <v>1259</v>
      </c>
      <c r="D246" s="5"/>
      <c r="E246" s="6" t="s">
        <v>1260</v>
      </c>
      <c r="F246" s="6" t="s">
        <v>1261</v>
      </c>
      <c r="G246" s="5" t="s">
        <v>1261</v>
      </c>
      <c r="H246" s="7">
        <v>10</v>
      </c>
      <c r="I246" s="7">
        <v>26.49</v>
      </c>
      <c r="J246" s="7" t="s">
        <v>58</v>
      </c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 t="s">
        <v>59</v>
      </c>
      <c r="V246" s="7" t="s">
        <v>101</v>
      </c>
      <c r="W246" s="7" t="s">
        <v>61</v>
      </c>
      <c r="X246" s="5" t="str">
        <f ca="1">IF(INDIRECT("W246")="Clássico","13%",IF(INDIRECT("W246")="Premium","17%","-"))</f>
        <v>13%</v>
      </c>
      <c r="Y246" s="7" t="s">
        <v>62</v>
      </c>
    </row>
    <row r="247" spans="1:25" ht="50" customHeight="1" x14ac:dyDescent="0.25">
      <c r="A247" s="5" t="s">
        <v>1262</v>
      </c>
      <c r="B247" s="5" t="s">
        <v>1263</v>
      </c>
      <c r="C247" s="5" t="s">
        <v>1264</v>
      </c>
      <c r="D247" s="5"/>
      <c r="E247" s="6" t="s">
        <v>1265</v>
      </c>
      <c r="F247" s="6" t="s">
        <v>1266</v>
      </c>
      <c r="G247" s="5" t="s">
        <v>1266</v>
      </c>
      <c r="H247" s="7">
        <v>6</v>
      </c>
      <c r="I247" s="7">
        <v>17.489999999999998</v>
      </c>
      <c r="J247" s="7" t="s">
        <v>58</v>
      </c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 t="s">
        <v>59</v>
      </c>
      <c r="V247" s="7" t="s">
        <v>60</v>
      </c>
      <c r="W247" s="7" t="s">
        <v>61</v>
      </c>
      <c r="X247" s="5" t="str">
        <f ca="1">IF(INDIRECT("W247")="Clássico","13%",IF(INDIRECT("W247")="Premium","17%","-"))</f>
        <v>13%</v>
      </c>
      <c r="Y247" s="7" t="s">
        <v>62</v>
      </c>
    </row>
    <row r="248" spans="1:25" ht="50" customHeight="1" x14ac:dyDescent="0.25">
      <c r="A248" s="5" t="s">
        <v>1267</v>
      </c>
      <c r="B248" s="5" t="s">
        <v>1268</v>
      </c>
      <c r="C248" s="5" t="s">
        <v>1269</v>
      </c>
      <c r="D248" s="5"/>
      <c r="E248" s="6" t="s">
        <v>1270</v>
      </c>
      <c r="F248" s="6" t="s">
        <v>1271</v>
      </c>
      <c r="G248" s="5" t="s">
        <v>1271</v>
      </c>
      <c r="H248" s="7">
        <v>6</v>
      </c>
      <c r="I248" s="7">
        <v>22.49</v>
      </c>
      <c r="J248" s="7" t="s">
        <v>58</v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 t="s">
        <v>59</v>
      </c>
      <c r="V248" s="7" t="s">
        <v>60</v>
      </c>
      <c r="W248" s="7" t="s">
        <v>61</v>
      </c>
      <c r="X248" s="5" t="str">
        <f ca="1">IF(INDIRECT("W248")="Clássico","13%",IF(INDIRECT("W248")="Premium","17%","-"))</f>
        <v>13%</v>
      </c>
      <c r="Y248" s="7" t="s">
        <v>62</v>
      </c>
    </row>
    <row r="249" spans="1:25" ht="50" customHeight="1" x14ac:dyDescent="0.25">
      <c r="A249" s="5" t="s">
        <v>1272</v>
      </c>
      <c r="B249" s="5" t="s">
        <v>1273</v>
      </c>
      <c r="C249" s="5" t="s">
        <v>1274</v>
      </c>
      <c r="D249" s="5"/>
      <c r="E249" s="6" t="s">
        <v>1275</v>
      </c>
      <c r="F249" s="6" t="s">
        <v>1276</v>
      </c>
      <c r="G249" s="5" t="s">
        <v>1276</v>
      </c>
      <c r="H249" s="7">
        <v>4</v>
      </c>
      <c r="I249" s="7">
        <v>33.49</v>
      </c>
      <c r="J249" s="7" t="s">
        <v>58</v>
      </c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 t="s">
        <v>59</v>
      </c>
      <c r="V249" s="7" t="s">
        <v>60</v>
      </c>
      <c r="W249" s="7" t="s">
        <v>61</v>
      </c>
      <c r="X249" s="5" t="str">
        <f ca="1">IF(INDIRECT("W249")="Clássico","13%",IF(INDIRECT("W249")="Premium","17%","-"))</f>
        <v>13%</v>
      </c>
      <c r="Y249" s="7" t="s">
        <v>62</v>
      </c>
    </row>
    <row r="250" spans="1:25" ht="50" customHeight="1" x14ac:dyDescent="0.25">
      <c r="A250" s="5" t="s">
        <v>1277</v>
      </c>
      <c r="B250" s="5" t="s">
        <v>1278</v>
      </c>
      <c r="C250" s="5" t="s">
        <v>1279</v>
      </c>
      <c r="D250" s="5"/>
      <c r="E250" s="6" t="s">
        <v>1280</v>
      </c>
      <c r="F250" s="6" t="s">
        <v>1281</v>
      </c>
      <c r="G250" s="5" t="s">
        <v>1281</v>
      </c>
      <c r="H250" s="7">
        <v>12</v>
      </c>
      <c r="I250" s="7">
        <v>26.49</v>
      </c>
      <c r="J250" s="7" t="s">
        <v>58</v>
      </c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 t="s">
        <v>59</v>
      </c>
      <c r="V250" s="7" t="s">
        <v>101</v>
      </c>
      <c r="W250" s="7" t="s">
        <v>61</v>
      </c>
      <c r="X250" s="5" t="str">
        <f ca="1">IF(INDIRECT("W250")="Clássico","13%",IF(INDIRECT("W250")="Premium","17%","-"))</f>
        <v>13%</v>
      </c>
      <c r="Y250" s="7" t="s">
        <v>62</v>
      </c>
    </row>
    <row r="251" spans="1:25" ht="50" customHeight="1" x14ac:dyDescent="0.25">
      <c r="A251" s="5" t="s">
        <v>1282</v>
      </c>
      <c r="B251" s="5" t="s">
        <v>1283</v>
      </c>
      <c r="C251" s="5" t="s">
        <v>1284</v>
      </c>
      <c r="D251" s="5"/>
      <c r="E251" s="6" t="s">
        <v>1285</v>
      </c>
      <c r="F251" s="6" t="s">
        <v>1286</v>
      </c>
      <c r="G251" s="5" t="s">
        <v>1286</v>
      </c>
      <c r="H251" s="7">
        <v>12</v>
      </c>
      <c r="I251" s="7">
        <v>26.49</v>
      </c>
      <c r="J251" s="7" t="s">
        <v>58</v>
      </c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 t="s">
        <v>59</v>
      </c>
      <c r="V251" s="7" t="s">
        <v>101</v>
      </c>
      <c r="W251" s="7" t="s">
        <v>61</v>
      </c>
      <c r="X251" s="5" t="str">
        <f ca="1">IF(INDIRECT("W251")="Clássico","13%",IF(INDIRECT("W251")="Premium","17%","-"))</f>
        <v>13%</v>
      </c>
      <c r="Y251" s="7" t="s">
        <v>62</v>
      </c>
    </row>
    <row r="252" spans="1:25" ht="50" customHeight="1" x14ac:dyDescent="0.25">
      <c r="A252" s="5" t="s">
        <v>1287</v>
      </c>
      <c r="B252" s="5" t="s">
        <v>1288</v>
      </c>
      <c r="C252" s="5" t="s">
        <v>1289</v>
      </c>
      <c r="D252" s="5"/>
      <c r="E252" s="6" t="s">
        <v>1290</v>
      </c>
      <c r="F252" s="6" t="s">
        <v>1291</v>
      </c>
      <c r="G252" s="5" t="s">
        <v>1291</v>
      </c>
      <c r="H252" s="7">
        <v>6</v>
      </c>
      <c r="I252" s="7">
        <v>22.35</v>
      </c>
      <c r="J252" s="7" t="s">
        <v>58</v>
      </c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 t="s">
        <v>59</v>
      </c>
      <c r="V252" s="7" t="s">
        <v>60</v>
      </c>
      <c r="W252" s="7" t="s">
        <v>61</v>
      </c>
      <c r="X252" s="5" t="str">
        <f ca="1">IF(INDIRECT("W252")="Clássico","12%",IF(INDIRECT("W252")="Premium","17%","-"))</f>
        <v>12%</v>
      </c>
      <c r="Y252" s="7" t="s">
        <v>62</v>
      </c>
    </row>
    <row r="253" spans="1:25" ht="50" customHeight="1" x14ac:dyDescent="0.25">
      <c r="A253" s="5" t="s">
        <v>1292</v>
      </c>
      <c r="B253" s="5" t="s">
        <v>1293</v>
      </c>
      <c r="C253" s="5" t="s">
        <v>1294</v>
      </c>
      <c r="D253" s="5"/>
      <c r="E253" s="6" t="s">
        <v>1295</v>
      </c>
      <c r="F253" s="6" t="s">
        <v>1296</v>
      </c>
      <c r="G253" s="5" t="s">
        <v>1296</v>
      </c>
      <c r="H253" s="7">
        <v>36</v>
      </c>
      <c r="I253" s="7">
        <v>26.49</v>
      </c>
      <c r="J253" s="7" t="s">
        <v>58</v>
      </c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 t="s">
        <v>59</v>
      </c>
      <c r="V253" s="7" t="s">
        <v>101</v>
      </c>
      <c r="W253" s="7" t="s">
        <v>61</v>
      </c>
      <c r="X253" s="5" t="str">
        <f ca="1">IF(INDIRECT("W253")="Clássico","13%",IF(INDIRECT("W253")="Premium","17%","-"))</f>
        <v>13%</v>
      </c>
      <c r="Y253" s="7" t="s">
        <v>62</v>
      </c>
    </row>
    <row r="254" spans="1:25" ht="50" customHeight="1" x14ac:dyDescent="0.25">
      <c r="A254" s="5" t="s">
        <v>1297</v>
      </c>
      <c r="B254" s="5" t="s">
        <v>1298</v>
      </c>
      <c r="C254" s="5" t="s">
        <v>1299</v>
      </c>
      <c r="D254" s="5"/>
      <c r="E254" s="6" t="s">
        <v>1300</v>
      </c>
      <c r="F254" s="6" t="s">
        <v>1301</v>
      </c>
      <c r="G254" s="5" t="s">
        <v>1301</v>
      </c>
      <c r="H254" s="7">
        <v>12</v>
      </c>
      <c r="I254" s="7">
        <v>26.49</v>
      </c>
      <c r="J254" s="7" t="s">
        <v>58</v>
      </c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 t="s">
        <v>59</v>
      </c>
      <c r="V254" s="7" t="s">
        <v>101</v>
      </c>
      <c r="W254" s="7" t="s">
        <v>61</v>
      </c>
      <c r="X254" s="5" t="str">
        <f ca="1">IF(INDIRECT("W254")="Clássico","13%",IF(INDIRECT("W254")="Premium","17%","-"))</f>
        <v>13%</v>
      </c>
      <c r="Y254" s="7" t="s">
        <v>62</v>
      </c>
    </row>
    <row r="255" spans="1:25" ht="50" customHeight="1" x14ac:dyDescent="0.25">
      <c r="A255" s="5" t="s">
        <v>1302</v>
      </c>
      <c r="B255" s="5" t="s">
        <v>1303</v>
      </c>
      <c r="C255" s="5" t="s">
        <v>1304</v>
      </c>
      <c r="D255" s="5"/>
      <c r="E255" s="6" t="s">
        <v>1305</v>
      </c>
      <c r="F255" s="6" t="s">
        <v>1306</v>
      </c>
      <c r="G255" s="5" t="s">
        <v>1306</v>
      </c>
      <c r="H255" s="7">
        <v>12</v>
      </c>
      <c r="I255" s="7">
        <v>26.49</v>
      </c>
      <c r="J255" s="7" t="s">
        <v>58</v>
      </c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 t="s">
        <v>59</v>
      </c>
      <c r="V255" s="7" t="s">
        <v>101</v>
      </c>
      <c r="W255" s="7" t="s">
        <v>61</v>
      </c>
      <c r="X255" s="5" t="str">
        <f ca="1">IF(INDIRECT("W255")="Clássico","13%",IF(INDIRECT("W255")="Premium","17%","-"))</f>
        <v>13%</v>
      </c>
      <c r="Y255" s="7" t="s">
        <v>62</v>
      </c>
    </row>
    <row r="256" spans="1:25" ht="50" customHeight="1" x14ac:dyDescent="0.25">
      <c r="A256" s="5" t="s">
        <v>1307</v>
      </c>
      <c r="B256" s="5" t="s">
        <v>1308</v>
      </c>
      <c r="C256" s="5" t="s">
        <v>1309</v>
      </c>
      <c r="D256" s="5"/>
      <c r="E256" s="6" t="s">
        <v>1310</v>
      </c>
      <c r="F256" s="6" t="s">
        <v>1311</v>
      </c>
      <c r="G256" s="5" t="s">
        <v>1311</v>
      </c>
      <c r="H256" s="7">
        <v>6</v>
      </c>
      <c r="I256" s="7">
        <v>30.49</v>
      </c>
      <c r="J256" s="7" t="s">
        <v>58</v>
      </c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 t="s">
        <v>59</v>
      </c>
      <c r="V256" s="7" t="s">
        <v>60</v>
      </c>
      <c r="W256" s="7" t="s">
        <v>61</v>
      </c>
      <c r="X256" s="5" t="str">
        <f ca="1">IF(INDIRECT("W256")="Clássico","13%",IF(INDIRECT("W256")="Premium","17%","-"))</f>
        <v>13%</v>
      </c>
      <c r="Y256" s="7" t="s">
        <v>62</v>
      </c>
    </row>
    <row r="257" spans="1:25" ht="50" customHeight="1" x14ac:dyDescent="0.25">
      <c r="A257" s="5" t="s">
        <v>1312</v>
      </c>
      <c r="B257" s="5" t="s">
        <v>1313</v>
      </c>
      <c r="C257" s="5" t="s">
        <v>1314</v>
      </c>
      <c r="D257" s="5"/>
      <c r="E257" s="6" t="s">
        <v>1315</v>
      </c>
      <c r="F257" s="6" t="s">
        <v>1316</v>
      </c>
      <c r="G257" s="5" t="s">
        <v>1316</v>
      </c>
      <c r="H257" s="7">
        <v>12</v>
      </c>
      <c r="I257" s="7">
        <v>26.49</v>
      </c>
      <c r="J257" s="7" t="s">
        <v>58</v>
      </c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 t="s">
        <v>59</v>
      </c>
      <c r="V257" s="7" t="s">
        <v>60</v>
      </c>
      <c r="W257" s="7" t="s">
        <v>61</v>
      </c>
      <c r="X257" s="5" t="str">
        <f ca="1">IF(INDIRECT("W257")="Clássico","12%",IF(INDIRECT("W257")="Premium","17%","-"))</f>
        <v>12%</v>
      </c>
      <c r="Y257" s="7" t="s">
        <v>62</v>
      </c>
    </row>
    <row r="258" spans="1:25" ht="50" customHeight="1" x14ac:dyDescent="0.25">
      <c r="A258" s="5" t="s">
        <v>1317</v>
      </c>
      <c r="B258" s="5" t="s">
        <v>1318</v>
      </c>
      <c r="C258" s="5" t="s">
        <v>1319</v>
      </c>
      <c r="D258" s="5"/>
      <c r="E258" s="6" t="s">
        <v>1320</v>
      </c>
      <c r="F258" s="5" t="s">
        <v>1321</v>
      </c>
      <c r="G258" s="5" t="s">
        <v>78</v>
      </c>
      <c r="H258" s="7">
        <v>6</v>
      </c>
      <c r="I258" s="7">
        <v>43.38</v>
      </c>
      <c r="J258" s="7" t="s">
        <v>58</v>
      </c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5" t="s">
        <v>59</v>
      </c>
      <c r="V258" s="7" t="s">
        <v>60</v>
      </c>
      <c r="W258" s="7" t="s">
        <v>61</v>
      </c>
      <c r="X258" s="5" t="str">
        <f ca="1">IF(INDIRECT("W258")="Clássico","14%",IF(INDIRECT("W258")="Premium","19%","-"))</f>
        <v>14%</v>
      </c>
      <c r="Y258" s="7" t="s">
        <v>62</v>
      </c>
    </row>
    <row r="259" spans="1:25" ht="50" customHeight="1" x14ac:dyDescent="0.25">
      <c r="A259" s="5" t="s">
        <v>1322</v>
      </c>
      <c r="B259" s="5" t="s">
        <v>1323</v>
      </c>
      <c r="C259" s="5" t="s">
        <v>1324</v>
      </c>
      <c r="D259" s="5"/>
      <c r="E259" s="6" t="s">
        <v>127</v>
      </c>
      <c r="F259" s="6" t="s">
        <v>1325</v>
      </c>
      <c r="G259" s="5" t="s">
        <v>1325</v>
      </c>
      <c r="H259" s="7">
        <v>10</v>
      </c>
      <c r="I259" s="7">
        <v>66.760000000000005</v>
      </c>
      <c r="J259" s="7" t="s">
        <v>58</v>
      </c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 t="s">
        <v>59</v>
      </c>
      <c r="V259" s="7" t="s">
        <v>129</v>
      </c>
      <c r="W259" s="7" t="s">
        <v>61</v>
      </c>
      <c r="X259" s="5" t="str">
        <f ca="1">IF(INDIRECT("W259")="Clássico","14%",IF(INDIRECT("W259")="Premium","19%","-"))</f>
        <v>14%</v>
      </c>
      <c r="Y259" s="7" t="s">
        <v>62</v>
      </c>
    </row>
    <row r="260" spans="1:25" ht="50" customHeight="1" x14ac:dyDescent="0.25">
      <c r="A260" s="5" t="s">
        <v>1322</v>
      </c>
      <c r="B260" s="5" t="s">
        <v>1326</v>
      </c>
      <c r="C260" s="5" t="s">
        <v>1324</v>
      </c>
      <c r="D260" s="5"/>
      <c r="E260" s="6" t="s">
        <v>127</v>
      </c>
      <c r="F260" s="5" t="s">
        <v>128</v>
      </c>
      <c r="G260" s="5" t="s">
        <v>78</v>
      </c>
      <c r="H260" s="7">
        <v>10</v>
      </c>
      <c r="I260" s="7">
        <v>58.38</v>
      </c>
      <c r="J260" s="7" t="s">
        <v>58</v>
      </c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5" t="s">
        <v>59</v>
      </c>
      <c r="V260" s="7" t="s">
        <v>129</v>
      </c>
      <c r="W260" s="7" t="s">
        <v>84</v>
      </c>
      <c r="X260" s="5" t="str">
        <f ca="1">IF(INDIRECT("W260")="Clássico","14%",IF(INDIRECT("W260")="Premium","19%","-"))</f>
        <v>19%</v>
      </c>
      <c r="Y260" s="7" t="s">
        <v>62</v>
      </c>
    </row>
    <row r="261" spans="1:25" ht="50" customHeight="1" x14ac:dyDescent="0.25">
      <c r="A261" s="5" t="s">
        <v>1322</v>
      </c>
      <c r="B261" s="5" t="s">
        <v>1327</v>
      </c>
      <c r="C261" s="5" t="s">
        <v>1324</v>
      </c>
      <c r="D261" s="5"/>
      <c r="E261" s="6" t="s">
        <v>127</v>
      </c>
      <c r="F261" s="6" t="s">
        <v>1325</v>
      </c>
      <c r="G261" s="5" t="s">
        <v>1325</v>
      </c>
      <c r="H261" s="7">
        <v>10</v>
      </c>
      <c r="I261" s="7">
        <v>58.38</v>
      </c>
      <c r="J261" s="7" t="s">
        <v>58</v>
      </c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 t="s">
        <v>59</v>
      </c>
      <c r="V261" s="7" t="s">
        <v>129</v>
      </c>
      <c r="W261" s="7" t="s">
        <v>84</v>
      </c>
      <c r="X261" s="5" t="str">
        <f ca="1">IF(INDIRECT("W261")="Clássico","14%",IF(INDIRECT("W261")="Premium","19%","-"))</f>
        <v>19%</v>
      </c>
      <c r="Y261" s="7" t="s">
        <v>62</v>
      </c>
    </row>
    <row r="262" spans="1:25" ht="50" customHeight="1" x14ac:dyDescent="0.25">
      <c r="A262" s="5" t="s">
        <v>140</v>
      </c>
      <c r="B262" s="5" t="s">
        <v>1328</v>
      </c>
      <c r="C262" s="5" t="s">
        <v>142</v>
      </c>
      <c r="D262" s="5"/>
      <c r="E262" s="6" t="s">
        <v>143</v>
      </c>
      <c r="F262" s="5" t="s">
        <v>1329</v>
      </c>
      <c r="G262" s="5" t="s">
        <v>78</v>
      </c>
      <c r="H262" s="7">
        <v>3</v>
      </c>
      <c r="I262" s="7">
        <v>35.49</v>
      </c>
      <c r="J262" s="7" t="s">
        <v>58</v>
      </c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5" t="s">
        <v>59</v>
      </c>
      <c r="V262" s="7" t="s">
        <v>60</v>
      </c>
      <c r="W262" s="7" t="s">
        <v>61</v>
      </c>
      <c r="X262" s="5" t="str">
        <f ca="1">IF(INDIRECT("W262")="Clássico","13%",IF(INDIRECT("W262")="Premium","17%","-"))</f>
        <v>13%</v>
      </c>
      <c r="Y262" s="7" t="s">
        <v>62</v>
      </c>
    </row>
    <row r="263" spans="1:25" ht="50" customHeight="1" x14ac:dyDescent="0.25">
      <c r="A263" s="5" t="s">
        <v>273</v>
      </c>
      <c r="B263" s="5" t="s">
        <v>1330</v>
      </c>
      <c r="C263" s="5" t="s">
        <v>536</v>
      </c>
      <c r="D263" s="5"/>
      <c r="E263" s="6" t="s">
        <v>276</v>
      </c>
      <c r="F263" s="5" t="s">
        <v>1331</v>
      </c>
      <c r="G263" s="5" t="s">
        <v>78</v>
      </c>
      <c r="H263" s="7">
        <v>15</v>
      </c>
      <c r="I263" s="7">
        <v>29.99</v>
      </c>
      <c r="J263" s="7" t="s">
        <v>58</v>
      </c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5" t="s">
        <v>59</v>
      </c>
      <c r="V263" s="7" t="s">
        <v>60</v>
      </c>
      <c r="W263" s="7" t="s">
        <v>61</v>
      </c>
      <c r="X263" s="5" t="str">
        <f ca="1">IF(INDIRECT("W263")="Clássico","13%",IF(INDIRECT("W263")="Premium","17%","-"))</f>
        <v>13%</v>
      </c>
      <c r="Y263" s="7" t="s">
        <v>62</v>
      </c>
    </row>
    <row r="264" spans="1:25" ht="50" customHeight="1" x14ac:dyDescent="0.25">
      <c r="A264" s="5" t="s">
        <v>1332</v>
      </c>
      <c r="B264" s="5" t="s">
        <v>1333</v>
      </c>
      <c r="C264" s="5" t="s">
        <v>1334</v>
      </c>
      <c r="D264" s="5"/>
      <c r="E264" s="6" t="s">
        <v>1335</v>
      </c>
      <c r="F264" s="5" t="s">
        <v>1336</v>
      </c>
      <c r="G264" s="5" t="s">
        <v>78</v>
      </c>
      <c r="H264" s="7">
        <v>11</v>
      </c>
      <c r="I264" s="7">
        <v>20.49</v>
      </c>
      <c r="J264" s="7" t="s">
        <v>58</v>
      </c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5" t="s">
        <v>59</v>
      </c>
      <c r="V264" s="7" t="s">
        <v>60</v>
      </c>
      <c r="W264" s="7" t="s">
        <v>61</v>
      </c>
      <c r="X264" s="5" t="str">
        <f ca="1">IF(INDIRECT("W264")="Clássico","12%",IF(INDIRECT("W264")="Premium","17%","-"))</f>
        <v>12%</v>
      </c>
      <c r="Y264" s="7" t="s">
        <v>62</v>
      </c>
    </row>
    <row r="265" spans="1:25" ht="50" customHeight="1" x14ac:dyDescent="0.25">
      <c r="A265" s="5" t="s">
        <v>1337</v>
      </c>
      <c r="B265" s="5" t="s">
        <v>1338</v>
      </c>
      <c r="C265" s="5" t="s">
        <v>1339</v>
      </c>
      <c r="D265" s="5"/>
      <c r="E265" s="6" t="s">
        <v>1340</v>
      </c>
      <c r="F265" s="5" t="s">
        <v>1341</v>
      </c>
      <c r="G265" s="5" t="s">
        <v>78</v>
      </c>
      <c r="H265" s="7">
        <v>10</v>
      </c>
      <c r="I265" s="7">
        <v>93.9</v>
      </c>
      <c r="J265" s="7" t="s">
        <v>58</v>
      </c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5" t="s">
        <v>59</v>
      </c>
      <c r="V265" s="7" t="s">
        <v>129</v>
      </c>
      <c r="W265" s="7" t="s">
        <v>84</v>
      </c>
      <c r="X265" s="5" t="str">
        <f ca="1">IF(INDIRECT("W265")="Clássico","14%",IF(INDIRECT("W265")="Premium","19%","-"))</f>
        <v>19%</v>
      </c>
      <c r="Y265" s="7" t="s">
        <v>62</v>
      </c>
    </row>
    <row r="266" spans="1:25" ht="50" customHeight="1" x14ac:dyDescent="0.25">
      <c r="A266" s="5" t="s">
        <v>1342</v>
      </c>
      <c r="B266" s="5" t="s">
        <v>1343</v>
      </c>
      <c r="C266" s="5" t="s">
        <v>1344</v>
      </c>
      <c r="D266" s="5"/>
      <c r="E266" s="6" t="s">
        <v>1345</v>
      </c>
      <c r="F266" s="5" t="s">
        <v>1346</v>
      </c>
      <c r="G266" s="5" t="s">
        <v>78</v>
      </c>
      <c r="H266" s="7">
        <v>2</v>
      </c>
      <c r="I266" s="7">
        <v>33.49</v>
      </c>
      <c r="J266" s="7" t="s">
        <v>58</v>
      </c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5" t="s">
        <v>59</v>
      </c>
      <c r="V266" s="7" t="s">
        <v>60</v>
      </c>
      <c r="W266" s="7" t="s">
        <v>61</v>
      </c>
      <c r="X266" s="5" t="str">
        <f ca="1">IF(INDIRECT("W266")="Clássico","13%",IF(INDIRECT("W266")="Premium","17%","-"))</f>
        <v>13%</v>
      </c>
      <c r="Y266" s="7" t="s">
        <v>62</v>
      </c>
    </row>
    <row r="267" spans="1:25" ht="50" customHeight="1" x14ac:dyDescent="0.25">
      <c r="A267" s="5" t="s">
        <v>1347</v>
      </c>
      <c r="B267" s="5" t="s">
        <v>1348</v>
      </c>
      <c r="C267" s="5" t="s">
        <v>1349</v>
      </c>
      <c r="D267" s="5"/>
      <c r="E267" s="6" t="s">
        <v>1350</v>
      </c>
      <c r="F267" s="5" t="s">
        <v>1351</v>
      </c>
      <c r="G267" s="5" t="s">
        <v>78</v>
      </c>
      <c r="H267" s="7">
        <v>90</v>
      </c>
      <c r="I267" s="7">
        <v>32.49</v>
      </c>
      <c r="J267" s="7" t="s">
        <v>58</v>
      </c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5" t="s">
        <v>59</v>
      </c>
      <c r="V267" s="7" t="s">
        <v>60</v>
      </c>
      <c r="W267" s="7" t="s">
        <v>61</v>
      </c>
      <c r="X267" s="5" t="str">
        <f ca="1">IF(INDIRECT("W267")="Clássico","14%",IF(INDIRECT("W267")="Premium","19%","-"))</f>
        <v>14%</v>
      </c>
      <c r="Y267" s="7" t="s">
        <v>62</v>
      </c>
    </row>
    <row r="268" spans="1:25" ht="50" customHeight="1" x14ac:dyDescent="0.25">
      <c r="A268" s="5" t="s">
        <v>213</v>
      </c>
      <c r="B268" s="5" t="s">
        <v>1352</v>
      </c>
      <c r="C268" s="5" t="s">
        <v>215</v>
      </c>
      <c r="D268" s="5"/>
      <c r="E268" s="6" t="s">
        <v>216</v>
      </c>
      <c r="F268" s="5" t="s">
        <v>1353</v>
      </c>
      <c r="G268" s="5" t="s">
        <v>78</v>
      </c>
      <c r="H268" s="7">
        <v>2</v>
      </c>
      <c r="I268" s="7">
        <v>28.49</v>
      </c>
      <c r="J268" s="7" t="s">
        <v>58</v>
      </c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5" t="s">
        <v>59</v>
      </c>
      <c r="V268" s="7" t="s">
        <v>60</v>
      </c>
      <c r="W268" s="7" t="s">
        <v>61</v>
      </c>
      <c r="X268" s="5" t="str">
        <f ca="1">IF(INDIRECT("W268")="Clássico","13%",IF(INDIRECT("W268")="Premium","17%","-"))</f>
        <v>13%</v>
      </c>
      <c r="Y268" s="7" t="s">
        <v>62</v>
      </c>
    </row>
    <row r="269" spans="1:25" ht="50" customHeight="1" x14ac:dyDescent="0.25">
      <c r="A269" s="5" t="s">
        <v>495</v>
      </c>
      <c r="B269" s="5" t="s">
        <v>1354</v>
      </c>
      <c r="C269" s="5" t="s">
        <v>497</v>
      </c>
      <c r="D269" s="5"/>
      <c r="E269" s="6" t="s">
        <v>498</v>
      </c>
      <c r="F269" s="5" t="s">
        <v>1355</v>
      </c>
      <c r="G269" s="5" t="s">
        <v>78</v>
      </c>
      <c r="H269" s="7">
        <v>24</v>
      </c>
      <c r="I269" s="7">
        <v>21.09</v>
      </c>
      <c r="J269" s="7" t="s">
        <v>58</v>
      </c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5" t="s">
        <v>59</v>
      </c>
      <c r="V269" s="7" t="s">
        <v>60</v>
      </c>
      <c r="W269" s="7" t="s">
        <v>61</v>
      </c>
      <c r="X269" s="5" t="str">
        <f ca="1">IF(INDIRECT("W269")="Clássico","13%",IF(INDIRECT("W269")="Premium","17%","-"))</f>
        <v>13%</v>
      </c>
      <c r="Y269" s="7" t="s">
        <v>62</v>
      </c>
    </row>
    <row r="270" spans="1:25" ht="50" customHeight="1" x14ac:dyDescent="0.25">
      <c r="A270" s="5" t="s">
        <v>208</v>
      </c>
      <c r="B270" s="5" t="s">
        <v>1356</v>
      </c>
      <c r="C270" s="5" t="s">
        <v>210</v>
      </c>
      <c r="D270" s="5"/>
      <c r="E270" s="6" t="s">
        <v>211</v>
      </c>
      <c r="F270" s="5" t="s">
        <v>1357</v>
      </c>
      <c r="G270" s="5" t="s">
        <v>78</v>
      </c>
      <c r="H270" s="7">
        <v>47</v>
      </c>
      <c r="I270" s="7">
        <v>22.49</v>
      </c>
      <c r="J270" s="7" t="s">
        <v>58</v>
      </c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5" t="s">
        <v>59</v>
      </c>
      <c r="V270" s="7" t="s">
        <v>60</v>
      </c>
      <c r="W270" s="7" t="s">
        <v>61</v>
      </c>
      <c r="X270" s="5" t="str">
        <f ca="1">IF(INDIRECT("W270")="Clássico","13%",IF(INDIRECT("W270")="Premium","17%","-"))</f>
        <v>13%</v>
      </c>
      <c r="Y270" s="7" t="s">
        <v>62</v>
      </c>
    </row>
    <row r="271" spans="1:25" ht="50" customHeight="1" x14ac:dyDescent="0.25">
      <c r="A271" s="5" t="s">
        <v>1358</v>
      </c>
      <c r="B271" s="5" t="s">
        <v>1359</v>
      </c>
      <c r="C271" s="5" t="s">
        <v>1360</v>
      </c>
      <c r="D271" s="5"/>
      <c r="E271" s="6" t="s">
        <v>1361</v>
      </c>
      <c r="F271" s="5" t="s">
        <v>1362</v>
      </c>
      <c r="G271" s="5" t="s">
        <v>78</v>
      </c>
      <c r="H271" s="7">
        <v>3</v>
      </c>
      <c r="I271" s="7">
        <v>85.49</v>
      </c>
      <c r="J271" s="7" t="s">
        <v>58</v>
      </c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5" t="s">
        <v>59</v>
      </c>
      <c r="V271" s="7" t="s">
        <v>129</v>
      </c>
      <c r="W271" s="7" t="s">
        <v>61</v>
      </c>
      <c r="X271" s="5" t="str">
        <f ca="1">IF(INDIRECT("W271")="Clássico","14%",IF(INDIRECT("W271")="Premium","19%","-"))</f>
        <v>14%</v>
      </c>
      <c r="Y271" s="7" t="s">
        <v>62</v>
      </c>
    </row>
    <row r="272" spans="1:25" ht="50" customHeight="1" x14ac:dyDescent="0.25">
      <c r="A272" s="5" t="s">
        <v>135</v>
      </c>
      <c r="B272" s="5" t="s">
        <v>1363</v>
      </c>
      <c r="C272" s="5" t="s">
        <v>137</v>
      </c>
      <c r="D272" s="5"/>
      <c r="E272" s="6" t="s">
        <v>138</v>
      </c>
      <c r="F272" s="5" t="s">
        <v>1364</v>
      </c>
      <c r="G272" s="5" t="s">
        <v>78</v>
      </c>
      <c r="H272" s="7">
        <v>10</v>
      </c>
      <c r="I272" s="7">
        <v>30.49</v>
      </c>
      <c r="J272" s="7" t="s">
        <v>58</v>
      </c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5" t="s">
        <v>59</v>
      </c>
      <c r="V272" s="7" t="s">
        <v>60</v>
      </c>
      <c r="W272" s="7" t="s">
        <v>61</v>
      </c>
      <c r="X272" s="5" t="str">
        <f ca="1">IF(INDIRECT("W272")="Clássico","13%",IF(INDIRECT("W272")="Premium","17%","-"))</f>
        <v>13%</v>
      </c>
      <c r="Y272" s="7" t="s">
        <v>62</v>
      </c>
    </row>
    <row r="273" spans="1:25" ht="50" customHeight="1" x14ac:dyDescent="0.25">
      <c r="A273" s="5" t="s">
        <v>1365</v>
      </c>
      <c r="B273" s="5" t="s">
        <v>1366</v>
      </c>
      <c r="C273" s="5" t="s">
        <v>1367</v>
      </c>
      <c r="D273" s="5"/>
      <c r="E273" s="6" t="s">
        <v>1368</v>
      </c>
      <c r="F273" s="5" t="s">
        <v>1369</v>
      </c>
      <c r="G273" s="5" t="s">
        <v>78</v>
      </c>
      <c r="H273" s="7">
        <v>2</v>
      </c>
      <c r="I273" s="7">
        <v>33.49</v>
      </c>
      <c r="J273" s="7" t="s">
        <v>58</v>
      </c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5" t="s">
        <v>59</v>
      </c>
      <c r="V273" s="7" t="s">
        <v>60</v>
      </c>
      <c r="W273" s="7" t="s">
        <v>61</v>
      </c>
      <c r="X273" s="5" t="str">
        <f ca="1">IF(INDIRECT("W273")="Clássico","13%",IF(INDIRECT("W273")="Premium","17%","-"))</f>
        <v>13%</v>
      </c>
      <c r="Y273" s="7" t="s">
        <v>62</v>
      </c>
    </row>
    <row r="274" spans="1:25" ht="50" customHeight="1" x14ac:dyDescent="0.25">
      <c r="A274" s="5" t="s">
        <v>776</v>
      </c>
      <c r="B274" s="5" t="s">
        <v>1370</v>
      </c>
      <c r="C274" s="5" t="s">
        <v>778</v>
      </c>
      <c r="D274" s="5"/>
      <c r="E274" s="6" t="s">
        <v>779</v>
      </c>
      <c r="F274" s="5" t="s">
        <v>1371</v>
      </c>
      <c r="G274" s="5" t="s">
        <v>78</v>
      </c>
      <c r="H274" s="7">
        <v>30</v>
      </c>
      <c r="I274" s="7">
        <v>289.89999999999998</v>
      </c>
      <c r="J274" s="7" t="s">
        <v>58</v>
      </c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5" t="s">
        <v>59</v>
      </c>
      <c r="V274" s="7" t="s">
        <v>129</v>
      </c>
      <c r="W274" s="7" t="s">
        <v>84</v>
      </c>
      <c r="X274" s="5" t="str">
        <f ca="1">IF(INDIRECT("W274")="Clássico","12%",IF(INDIRECT("W274")="Premium","15%","-"))</f>
        <v>15%</v>
      </c>
      <c r="Y274" s="7" t="s">
        <v>62</v>
      </c>
    </row>
    <row r="275" spans="1:25" ht="50" customHeight="1" x14ac:dyDescent="0.25">
      <c r="A275" s="5" t="s">
        <v>1372</v>
      </c>
      <c r="B275" s="5" t="s">
        <v>1373</v>
      </c>
      <c r="C275" s="5" t="s">
        <v>1374</v>
      </c>
      <c r="D275" s="5"/>
      <c r="E275" s="6" t="s">
        <v>1375</v>
      </c>
      <c r="F275" s="5" t="s">
        <v>1376</v>
      </c>
      <c r="G275" s="5" t="s">
        <v>78</v>
      </c>
      <c r="H275" s="7">
        <v>5</v>
      </c>
      <c r="I275" s="7">
        <v>207.49</v>
      </c>
      <c r="J275" s="7" t="s">
        <v>58</v>
      </c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5" t="s">
        <v>59</v>
      </c>
      <c r="V275" s="7" t="s">
        <v>129</v>
      </c>
      <c r="W275" s="7" t="s">
        <v>84</v>
      </c>
      <c r="X275" s="5" t="str">
        <f ca="1">IF(INDIRECT("W275")="Clássico","14%",IF(INDIRECT("W275")="Premium","19%","-"))</f>
        <v>19%</v>
      </c>
      <c r="Y275" s="7" t="s">
        <v>62</v>
      </c>
    </row>
    <row r="276" spans="1:25" ht="50" customHeight="1" x14ac:dyDescent="0.25">
      <c r="A276" s="5" t="s">
        <v>1377</v>
      </c>
      <c r="B276" s="5" t="s">
        <v>1378</v>
      </c>
      <c r="C276" s="5" t="s">
        <v>1379</v>
      </c>
      <c r="D276" s="5"/>
      <c r="E276" s="6" t="s">
        <v>1380</v>
      </c>
      <c r="F276" s="5" t="s">
        <v>1381</v>
      </c>
      <c r="G276" s="5" t="s">
        <v>78</v>
      </c>
      <c r="H276" s="7">
        <v>3</v>
      </c>
      <c r="I276" s="7">
        <v>188.49</v>
      </c>
      <c r="J276" s="7" t="s">
        <v>58</v>
      </c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5" t="s">
        <v>59</v>
      </c>
      <c r="V276" s="7" t="s">
        <v>129</v>
      </c>
      <c r="W276" s="7" t="s">
        <v>84</v>
      </c>
      <c r="X276" s="5" t="str">
        <f ca="1">IF(INDIRECT("W276")="Clássico","14%",IF(INDIRECT("W276")="Premium","19%","-"))</f>
        <v>19%</v>
      </c>
      <c r="Y276" s="7" t="s">
        <v>62</v>
      </c>
    </row>
    <row r="277" spans="1:25" ht="50" customHeight="1" x14ac:dyDescent="0.25">
      <c r="A277" s="5" t="s">
        <v>553</v>
      </c>
      <c r="B277" s="5" t="s">
        <v>1382</v>
      </c>
      <c r="C277" s="5" t="s">
        <v>555</v>
      </c>
      <c r="D277" s="5"/>
      <c r="E277" s="6" t="s">
        <v>556</v>
      </c>
      <c r="F277" s="5" t="s">
        <v>1383</v>
      </c>
      <c r="G277" s="5" t="s">
        <v>78</v>
      </c>
      <c r="H277" s="7">
        <v>20</v>
      </c>
      <c r="I277" s="7">
        <v>24.49</v>
      </c>
      <c r="J277" s="7" t="s">
        <v>58</v>
      </c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5" t="s">
        <v>59</v>
      </c>
      <c r="V277" s="7" t="s">
        <v>60</v>
      </c>
      <c r="W277" s="7" t="s">
        <v>61</v>
      </c>
      <c r="X277" s="5" t="str">
        <f ca="1">IF(INDIRECT("W277")="Clássico","13%",IF(INDIRECT("W277")="Premium","17%","-"))</f>
        <v>13%</v>
      </c>
      <c r="Y277" s="7" t="s">
        <v>62</v>
      </c>
    </row>
    <row r="278" spans="1:25" ht="50" customHeight="1" x14ac:dyDescent="0.25">
      <c r="A278" s="5" t="s">
        <v>1384</v>
      </c>
      <c r="B278" s="5" t="s">
        <v>1385</v>
      </c>
      <c r="C278" s="5" t="s">
        <v>1386</v>
      </c>
      <c r="D278" s="5"/>
      <c r="E278" s="6" t="s">
        <v>1387</v>
      </c>
      <c r="F278" s="5" t="s">
        <v>1388</v>
      </c>
      <c r="G278" s="5" t="s">
        <v>78</v>
      </c>
      <c r="H278" s="7">
        <v>12</v>
      </c>
      <c r="I278" s="7">
        <v>26.49</v>
      </c>
      <c r="J278" s="7" t="s">
        <v>58</v>
      </c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5" t="s">
        <v>59</v>
      </c>
      <c r="V278" s="7" t="s">
        <v>60</v>
      </c>
      <c r="W278" s="7" t="s">
        <v>61</v>
      </c>
      <c r="X278" s="5" t="str">
        <f ca="1">IF(INDIRECT("W278")="Clássico","12%",IF(INDIRECT("W278")="Premium","17%","-"))</f>
        <v>12%</v>
      </c>
      <c r="Y278" s="7" t="s">
        <v>62</v>
      </c>
    </row>
    <row r="279" spans="1:25" ht="50" customHeight="1" x14ac:dyDescent="0.25">
      <c r="A279" s="5" t="s">
        <v>1389</v>
      </c>
      <c r="B279" s="5" t="s">
        <v>1390</v>
      </c>
      <c r="C279" s="5" t="s">
        <v>1391</v>
      </c>
      <c r="D279" s="5"/>
      <c r="E279" s="6" t="s">
        <v>1392</v>
      </c>
      <c r="F279" s="5" t="s">
        <v>1393</v>
      </c>
      <c r="G279" s="5" t="s">
        <v>78</v>
      </c>
      <c r="H279" s="7">
        <v>12</v>
      </c>
      <c r="I279" s="7">
        <v>26.49</v>
      </c>
      <c r="J279" s="7" t="s">
        <v>58</v>
      </c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5" t="s">
        <v>59</v>
      </c>
      <c r="V279" s="7" t="s">
        <v>101</v>
      </c>
      <c r="W279" s="7" t="s">
        <v>61</v>
      </c>
      <c r="X279" s="5" t="str">
        <f ca="1">IF(INDIRECT("W279")="Clássico","13%",IF(INDIRECT("W279")="Premium","17%","-"))</f>
        <v>13%</v>
      </c>
      <c r="Y279" s="7" t="s">
        <v>62</v>
      </c>
    </row>
    <row r="280" spans="1:25" ht="50" customHeight="1" x14ac:dyDescent="0.25">
      <c r="A280" s="5" t="s">
        <v>1394</v>
      </c>
      <c r="B280" s="5" t="s">
        <v>1395</v>
      </c>
      <c r="C280" s="5" t="s">
        <v>1396</v>
      </c>
      <c r="D280" s="5"/>
      <c r="E280" s="6" t="s">
        <v>1397</v>
      </c>
      <c r="F280" s="5" t="s">
        <v>1398</v>
      </c>
      <c r="G280" s="5" t="s">
        <v>78</v>
      </c>
      <c r="H280" s="7">
        <v>12</v>
      </c>
      <c r="I280" s="7">
        <v>26.49</v>
      </c>
      <c r="J280" s="7" t="s">
        <v>58</v>
      </c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5" t="s">
        <v>59</v>
      </c>
      <c r="V280" s="7" t="s">
        <v>101</v>
      </c>
      <c r="W280" s="7" t="s">
        <v>61</v>
      </c>
      <c r="X280" s="5" t="str">
        <f ca="1">IF(INDIRECT("W280")="Clássico","13%",IF(INDIRECT("W280")="Premium","17%","-"))</f>
        <v>13%</v>
      </c>
      <c r="Y280" s="7" t="s">
        <v>62</v>
      </c>
    </row>
    <row r="281" spans="1:25" ht="50" customHeight="1" x14ac:dyDescent="0.25">
      <c r="A281" s="5" t="s">
        <v>1399</v>
      </c>
      <c r="B281" s="5" t="s">
        <v>1400</v>
      </c>
      <c r="C281" s="5" t="s">
        <v>1401</v>
      </c>
      <c r="D281" s="5"/>
      <c r="E281" s="6" t="s">
        <v>1402</v>
      </c>
      <c r="F281" s="6" t="s">
        <v>1403</v>
      </c>
      <c r="G281" s="5" t="s">
        <v>1403</v>
      </c>
      <c r="H281" s="7">
        <v>25</v>
      </c>
      <c r="I281" s="7">
        <v>19.38</v>
      </c>
      <c r="J281" s="7" t="s">
        <v>58</v>
      </c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 t="s">
        <v>59</v>
      </c>
      <c r="V281" s="7" t="s">
        <v>60</v>
      </c>
      <c r="W281" s="7" t="s">
        <v>61</v>
      </c>
      <c r="X281" s="5" t="str">
        <f ca="1">IF(INDIRECT("W281")="Clássico","13%",IF(INDIRECT("W281")="Premium","17%","-"))</f>
        <v>13%</v>
      </c>
      <c r="Y281" s="7" t="s">
        <v>62</v>
      </c>
    </row>
    <row r="282" spans="1:25" ht="50" customHeight="1" x14ac:dyDescent="0.25">
      <c r="A282" s="5" t="s">
        <v>858</v>
      </c>
      <c r="B282" s="5" t="s">
        <v>1404</v>
      </c>
      <c r="C282" s="5" t="s">
        <v>860</v>
      </c>
      <c r="D282" s="5"/>
      <c r="E282" s="6" t="s">
        <v>861</v>
      </c>
      <c r="F282" s="6" t="s">
        <v>862</v>
      </c>
      <c r="G282" s="5" t="s">
        <v>862</v>
      </c>
      <c r="H282" s="7">
        <v>6</v>
      </c>
      <c r="I282" s="7">
        <v>22.49</v>
      </c>
      <c r="J282" s="7" t="s">
        <v>58</v>
      </c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 t="s">
        <v>59</v>
      </c>
      <c r="V282" s="7" t="s">
        <v>60</v>
      </c>
      <c r="W282" s="7" t="s">
        <v>84</v>
      </c>
      <c r="X282" s="5" t="str">
        <f ca="1">IF(INDIRECT("W282")="Clássico","13%",IF(INDIRECT("W282")="Premium","17%","-"))</f>
        <v>17%</v>
      </c>
      <c r="Y282" s="7" t="s">
        <v>62</v>
      </c>
    </row>
    <row r="283" spans="1:25" ht="50" customHeight="1" x14ac:dyDescent="0.25">
      <c r="A283" s="5" t="s">
        <v>1405</v>
      </c>
      <c r="B283" s="5" t="s">
        <v>1406</v>
      </c>
      <c r="C283" s="5" t="s">
        <v>1407</v>
      </c>
      <c r="D283" s="5"/>
      <c r="E283" s="6" t="s">
        <v>1408</v>
      </c>
      <c r="F283" s="6" t="s">
        <v>1409</v>
      </c>
      <c r="G283" s="5" t="s">
        <v>1409</v>
      </c>
      <c r="H283" s="7">
        <v>6</v>
      </c>
      <c r="I283" s="7">
        <v>21.24</v>
      </c>
      <c r="J283" s="7" t="s">
        <v>58</v>
      </c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 t="s">
        <v>59</v>
      </c>
      <c r="V283" s="7" t="s">
        <v>60</v>
      </c>
      <c r="W283" s="7" t="s">
        <v>61</v>
      </c>
      <c r="X283" s="5" t="str">
        <f ca="1">IF(INDIRECT("W283")="Clássico","12%",IF(INDIRECT("W283")="Premium","17%","-"))</f>
        <v>12%</v>
      </c>
      <c r="Y283" s="7" t="s">
        <v>62</v>
      </c>
    </row>
    <row r="284" spans="1:25" ht="50" customHeight="1" x14ac:dyDescent="0.25">
      <c r="A284" s="5" t="s">
        <v>1410</v>
      </c>
      <c r="B284" s="5" t="s">
        <v>1411</v>
      </c>
      <c r="C284" s="5" t="s">
        <v>1412</v>
      </c>
      <c r="D284" s="5"/>
      <c r="E284" s="6" t="s">
        <v>1413</v>
      </c>
      <c r="F284" s="6" t="s">
        <v>1414</v>
      </c>
      <c r="G284" s="5" t="s">
        <v>1414</v>
      </c>
      <c r="H284" s="7">
        <v>10</v>
      </c>
      <c r="I284" s="7">
        <v>20.94</v>
      </c>
      <c r="J284" s="7" t="s">
        <v>58</v>
      </c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 t="s">
        <v>59</v>
      </c>
      <c r="V284" s="7" t="s">
        <v>101</v>
      </c>
      <c r="W284" s="7" t="s">
        <v>84</v>
      </c>
      <c r="X284" s="5" t="str">
        <f ca="1">IF(INDIRECT("W284")="Clássico","13%",IF(INDIRECT("W284")="Premium","17%","-"))</f>
        <v>17%</v>
      </c>
      <c r="Y284" s="7" t="s">
        <v>62</v>
      </c>
    </row>
    <row r="285" spans="1:25" ht="50" customHeight="1" x14ac:dyDescent="0.25">
      <c r="A285" s="5" t="s">
        <v>1415</v>
      </c>
      <c r="B285" s="5" t="s">
        <v>1416</v>
      </c>
      <c r="C285" s="5" t="s">
        <v>1417</v>
      </c>
      <c r="D285" s="5"/>
      <c r="E285" s="6" t="s">
        <v>1418</v>
      </c>
      <c r="F285" s="6" t="s">
        <v>1419</v>
      </c>
      <c r="G285" s="5" t="s">
        <v>1419</v>
      </c>
      <c r="H285" s="7">
        <v>9</v>
      </c>
      <c r="I285" s="7">
        <v>20.94</v>
      </c>
      <c r="J285" s="7" t="s">
        <v>58</v>
      </c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 t="s">
        <v>59</v>
      </c>
      <c r="V285" s="7" t="s">
        <v>101</v>
      </c>
      <c r="W285" s="7" t="s">
        <v>84</v>
      </c>
      <c r="X285" s="5" t="str">
        <f ca="1">IF(INDIRECT("W285")="Clássico","13%",IF(INDIRECT("W285")="Premium","17%","-"))</f>
        <v>17%</v>
      </c>
      <c r="Y285" s="7" t="s">
        <v>62</v>
      </c>
    </row>
    <row r="286" spans="1:25" ht="50" customHeight="1" x14ac:dyDescent="0.25">
      <c r="A286" s="5" t="s">
        <v>1420</v>
      </c>
      <c r="B286" s="5" t="s">
        <v>1421</v>
      </c>
      <c r="C286" s="5" t="s">
        <v>1422</v>
      </c>
      <c r="D286" s="5"/>
      <c r="E286" s="6" t="s">
        <v>1423</v>
      </c>
      <c r="F286" s="6" t="s">
        <v>1424</v>
      </c>
      <c r="G286" s="5" t="s">
        <v>1424</v>
      </c>
      <c r="H286" s="7">
        <v>23</v>
      </c>
      <c r="I286" s="7">
        <v>20.94</v>
      </c>
      <c r="J286" s="7" t="s">
        <v>58</v>
      </c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 t="s">
        <v>59</v>
      </c>
      <c r="V286" s="7" t="s">
        <v>101</v>
      </c>
      <c r="W286" s="7" t="s">
        <v>84</v>
      </c>
      <c r="X286" s="5" t="str">
        <f ca="1">IF(INDIRECT("W286")="Clássico","13%",IF(INDIRECT("W286")="Premium","17%","-"))</f>
        <v>17%</v>
      </c>
      <c r="Y286" s="7" t="s">
        <v>62</v>
      </c>
    </row>
    <row r="287" spans="1:25" ht="50" customHeight="1" x14ac:dyDescent="0.25">
      <c r="A287" s="5" t="s">
        <v>1425</v>
      </c>
      <c r="B287" s="5" t="s">
        <v>1426</v>
      </c>
      <c r="C287" s="5" t="s">
        <v>1427</v>
      </c>
      <c r="D287" s="5"/>
      <c r="E287" s="6" t="s">
        <v>1428</v>
      </c>
      <c r="F287" s="6" t="s">
        <v>1429</v>
      </c>
      <c r="G287" s="5" t="s">
        <v>1429</v>
      </c>
      <c r="H287" s="7">
        <v>3</v>
      </c>
      <c r="I287" s="7">
        <v>20.94</v>
      </c>
      <c r="J287" s="7" t="s">
        <v>58</v>
      </c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 t="s">
        <v>59</v>
      </c>
      <c r="V287" s="7" t="s">
        <v>101</v>
      </c>
      <c r="W287" s="7" t="s">
        <v>84</v>
      </c>
      <c r="X287" s="5" t="str">
        <f ca="1">IF(INDIRECT("W287")="Clássico","13%",IF(INDIRECT("W287")="Premium","17%","-"))</f>
        <v>17%</v>
      </c>
      <c r="Y287" s="7" t="s">
        <v>62</v>
      </c>
    </row>
    <row r="288" spans="1:25" ht="50" customHeight="1" x14ac:dyDescent="0.25">
      <c r="A288" s="5" t="s">
        <v>1389</v>
      </c>
      <c r="B288" s="5" t="s">
        <v>1430</v>
      </c>
      <c r="C288" s="5" t="s">
        <v>1431</v>
      </c>
      <c r="D288" s="5"/>
      <c r="E288" s="6" t="s">
        <v>1392</v>
      </c>
      <c r="F288" s="6" t="s">
        <v>1432</v>
      </c>
      <c r="G288" s="5" t="s">
        <v>1432</v>
      </c>
      <c r="H288" s="7">
        <v>11</v>
      </c>
      <c r="I288" s="7">
        <v>20.94</v>
      </c>
      <c r="J288" s="7" t="s">
        <v>58</v>
      </c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 t="s">
        <v>59</v>
      </c>
      <c r="V288" s="7" t="s">
        <v>101</v>
      </c>
      <c r="W288" s="7" t="s">
        <v>84</v>
      </c>
      <c r="X288" s="5" t="str">
        <f ca="1">IF(INDIRECT("W288")="Clássico","13%",IF(INDIRECT("W288")="Premium","17%","-"))</f>
        <v>17%</v>
      </c>
      <c r="Y288" s="7" t="s">
        <v>62</v>
      </c>
    </row>
    <row r="289" spans="1:25" ht="50" customHeight="1" x14ac:dyDescent="0.25">
      <c r="A289" s="5" t="s">
        <v>680</v>
      </c>
      <c r="B289" s="5" t="s">
        <v>1433</v>
      </c>
      <c r="C289" s="5" t="s">
        <v>1434</v>
      </c>
      <c r="D289" s="5"/>
      <c r="E289" s="6" t="s">
        <v>683</v>
      </c>
      <c r="F289" s="6" t="s">
        <v>1435</v>
      </c>
      <c r="G289" s="5" t="s">
        <v>1435</v>
      </c>
      <c r="H289" s="7">
        <v>12</v>
      </c>
      <c r="I289" s="7">
        <v>26.49</v>
      </c>
      <c r="J289" s="7" t="s">
        <v>58</v>
      </c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 t="s">
        <v>59</v>
      </c>
      <c r="V289" s="7" t="s">
        <v>101</v>
      </c>
      <c r="W289" s="7" t="s">
        <v>84</v>
      </c>
      <c r="X289" s="5" t="str">
        <f ca="1">IF(INDIRECT("W289")="Clássico","13%",IF(INDIRECT("W289")="Premium","17%","-"))</f>
        <v>17%</v>
      </c>
      <c r="Y289" s="7" t="s">
        <v>62</v>
      </c>
    </row>
    <row r="290" spans="1:25" ht="50" customHeight="1" x14ac:dyDescent="0.25">
      <c r="A290" s="5" t="s">
        <v>1436</v>
      </c>
      <c r="B290" s="5" t="s">
        <v>1437</v>
      </c>
      <c r="C290" s="5" t="s">
        <v>1438</v>
      </c>
      <c r="D290" s="5"/>
      <c r="E290" s="6" t="s">
        <v>1439</v>
      </c>
      <c r="F290" s="6" t="s">
        <v>1440</v>
      </c>
      <c r="G290" s="5" t="s">
        <v>1440</v>
      </c>
      <c r="H290" s="7">
        <v>24</v>
      </c>
      <c r="I290" s="7">
        <v>20.94</v>
      </c>
      <c r="J290" s="7" t="s">
        <v>58</v>
      </c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 t="s">
        <v>59</v>
      </c>
      <c r="V290" s="7" t="s">
        <v>101</v>
      </c>
      <c r="W290" s="7" t="s">
        <v>84</v>
      </c>
      <c r="X290" s="5" t="str">
        <f ca="1">IF(INDIRECT("W290")="Clássico","13%",IF(INDIRECT("W290")="Premium","17%","-"))</f>
        <v>17%</v>
      </c>
      <c r="Y290" s="7" t="s">
        <v>62</v>
      </c>
    </row>
    <row r="291" spans="1:25" ht="50" customHeight="1" x14ac:dyDescent="0.25">
      <c r="A291" s="5" t="s">
        <v>1441</v>
      </c>
      <c r="B291" s="5" t="s">
        <v>1442</v>
      </c>
      <c r="C291" s="5" t="s">
        <v>1443</v>
      </c>
      <c r="D291" s="5"/>
      <c r="E291" s="6" t="s">
        <v>1018</v>
      </c>
      <c r="F291" s="6" t="s">
        <v>1444</v>
      </c>
      <c r="G291" s="5" t="s">
        <v>1020</v>
      </c>
      <c r="H291" s="7">
        <v>46</v>
      </c>
      <c r="I291" s="7">
        <v>20.94</v>
      </c>
      <c r="J291" s="7" t="s">
        <v>58</v>
      </c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 t="s">
        <v>59</v>
      </c>
      <c r="V291" s="7" t="s">
        <v>101</v>
      </c>
      <c r="W291" s="7" t="s">
        <v>84</v>
      </c>
      <c r="X291" s="5" t="str">
        <f ca="1">IF(INDIRECT("W291")="Clássico","13%",IF(INDIRECT("W291")="Premium","17%","-"))</f>
        <v>17%</v>
      </c>
      <c r="Y291" s="7" t="s">
        <v>62</v>
      </c>
    </row>
    <row r="292" spans="1:25" ht="50" customHeight="1" x14ac:dyDescent="0.25">
      <c r="A292" s="5" t="s">
        <v>1445</v>
      </c>
      <c r="B292" s="5" t="s">
        <v>1446</v>
      </c>
      <c r="C292" s="5" t="s">
        <v>1447</v>
      </c>
      <c r="D292" s="5"/>
      <c r="E292" s="6" t="s">
        <v>1448</v>
      </c>
      <c r="F292" s="6" t="s">
        <v>1449</v>
      </c>
      <c r="G292" s="5" t="s">
        <v>1449</v>
      </c>
      <c r="H292" s="7">
        <v>12</v>
      </c>
      <c r="I292" s="7">
        <v>20.94</v>
      </c>
      <c r="J292" s="7" t="s">
        <v>58</v>
      </c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 t="s">
        <v>59</v>
      </c>
      <c r="V292" s="7" t="s">
        <v>101</v>
      </c>
      <c r="W292" s="7" t="s">
        <v>61</v>
      </c>
      <c r="X292" s="5" t="str">
        <f ca="1">IF(INDIRECT("W292")="Clássico","13%",IF(INDIRECT("W292")="Premium","17%","-"))</f>
        <v>13%</v>
      </c>
      <c r="Y292" s="7" t="s">
        <v>62</v>
      </c>
    </row>
    <row r="293" spans="1:25" ht="50" customHeight="1" x14ac:dyDescent="0.25">
      <c r="A293" s="5" t="s">
        <v>1450</v>
      </c>
      <c r="B293" s="5" t="s">
        <v>1451</v>
      </c>
      <c r="C293" s="5" t="s">
        <v>1452</v>
      </c>
      <c r="D293" s="5"/>
      <c r="E293" s="6" t="s">
        <v>1453</v>
      </c>
      <c r="F293" s="6" t="s">
        <v>1454</v>
      </c>
      <c r="G293" s="5" t="s">
        <v>1454</v>
      </c>
      <c r="H293" s="7">
        <v>11</v>
      </c>
      <c r="I293" s="7">
        <v>20.94</v>
      </c>
      <c r="J293" s="7" t="s">
        <v>58</v>
      </c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 t="s">
        <v>59</v>
      </c>
      <c r="V293" s="7" t="s">
        <v>101</v>
      </c>
      <c r="W293" s="7" t="s">
        <v>61</v>
      </c>
      <c r="X293" s="5" t="str">
        <f ca="1">IF(INDIRECT("W293")="Clássico","13%",IF(INDIRECT("W293")="Premium","17%","-"))</f>
        <v>13%</v>
      </c>
      <c r="Y293" s="7" t="s">
        <v>62</v>
      </c>
    </row>
    <row r="294" spans="1:25" ht="50" customHeight="1" x14ac:dyDescent="0.25">
      <c r="A294" s="5" t="s">
        <v>1000</v>
      </c>
      <c r="B294" s="5" t="s">
        <v>1455</v>
      </c>
      <c r="C294" s="5" t="s">
        <v>1456</v>
      </c>
      <c r="D294" s="5"/>
      <c r="E294" s="6" t="s">
        <v>1003</v>
      </c>
      <c r="F294" s="6" t="s">
        <v>1457</v>
      </c>
      <c r="G294" s="5" t="s">
        <v>1457</v>
      </c>
      <c r="H294" s="7">
        <v>12</v>
      </c>
      <c r="I294" s="7">
        <v>20.94</v>
      </c>
      <c r="J294" s="7" t="s">
        <v>58</v>
      </c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 t="s">
        <v>59</v>
      </c>
      <c r="V294" s="7" t="s">
        <v>101</v>
      </c>
      <c r="W294" s="7" t="s">
        <v>61</v>
      </c>
      <c r="X294" s="5" t="str">
        <f ca="1">IF(INDIRECT("W294")="Clássico","13%",IF(INDIRECT("W294")="Premium","17%","-"))</f>
        <v>13%</v>
      </c>
      <c r="Y294" s="7" t="s">
        <v>62</v>
      </c>
    </row>
    <row r="295" spans="1:25" ht="50" customHeight="1" x14ac:dyDescent="0.25">
      <c r="A295" s="5" t="s">
        <v>633</v>
      </c>
      <c r="B295" s="5" t="s">
        <v>1458</v>
      </c>
      <c r="C295" s="5" t="s">
        <v>1459</v>
      </c>
      <c r="D295" s="5"/>
      <c r="E295" s="6" t="s">
        <v>636</v>
      </c>
      <c r="F295" s="6" t="s">
        <v>1460</v>
      </c>
      <c r="G295" s="5" t="s">
        <v>1460</v>
      </c>
      <c r="H295" s="7">
        <v>11</v>
      </c>
      <c r="I295" s="7">
        <v>20.94</v>
      </c>
      <c r="J295" s="7" t="s">
        <v>58</v>
      </c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 t="s">
        <v>59</v>
      </c>
      <c r="V295" s="7" t="s">
        <v>101</v>
      </c>
      <c r="W295" s="7" t="s">
        <v>61</v>
      </c>
      <c r="X295" s="5" t="str">
        <f ca="1">IF(INDIRECT("W295")="Clássico","13%",IF(INDIRECT("W295")="Premium","17%","-"))</f>
        <v>13%</v>
      </c>
      <c r="Y295" s="7" t="s">
        <v>62</v>
      </c>
    </row>
    <row r="296" spans="1:25" ht="50" customHeight="1" x14ac:dyDescent="0.25">
      <c r="A296" s="5" t="s">
        <v>995</v>
      </c>
      <c r="B296" s="5" t="s">
        <v>1461</v>
      </c>
      <c r="C296" s="5" t="s">
        <v>1462</v>
      </c>
      <c r="D296" s="5"/>
      <c r="E296" s="6" t="s">
        <v>998</v>
      </c>
      <c r="F296" s="6" t="s">
        <v>1463</v>
      </c>
      <c r="G296" s="5" t="s">
        <v>1463</v>
      </c>
      <c r="H296" s="7">
        <v>12</v>
      </c>
      <c r="I296" s="7">
        <v>20.94</v>
      </c>
      <c r="J296" s="7" t="s">
        <v>58</v>
      </c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 t="s">
        <v>59</v>
      </c>
      <c r="V296" s="7" t="s">
        <v>101</v>
      </c>
      <c r="W296" s="7" t="s">
        <v>84</v>
      </c>
      <c r="X296" s="5" t="str">
        <f ca="1">IF(INDIRECT("W296")="Clássico","13%",IF(INDIRECT("W296")="Premium","17%","-"))</f>
        <v>17%</v>
      </c>
      <c r="Y296" s="7" t="s">
        <v>62</v>
      </c>
    </row>
    <row r="297" spans="1:25" ht="50" customHeight="1" x14ac:dyDescent="0.25">
      <c r="A297" s="5" t="s">
        <v>1464</v>
      </c>
      <c r="B297" s="5" t="s">
        <v>1465</v>
      </c>
      <c r="C297" s="5" t="s">
        <v>1466</v>
      </c>
      <c r="D297" s="5"/>
      <c r="E297" s="6" t="s">
        <v>1467</v>
      </c>
      <c r="F297" s="6" t="s">
        <v>1468</v>
      </c>
      <c r="G297" s="5" t="s">
        <v>1468</v>
      </c>
      <c r="H297" s="7">
        <v>12</v>
      </c>
      <c r="I297" s="7">
        <v>20.94</v>
      </c>
      <c r="J297" s="7" t="s">
        <v>58</v>
      </c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 t="s">
        <v>59</v>
      </c>
      <c r="V297" s="7" t="s">
        <v>101</v>
      </c>
      <c r="W297" s="7" t="s">
        <v>84</v>
      </c>
      <c r="X297" s="5" t="str">
        <f ca="1">IF(INDIRECT("W297")="Clássico","13%",IF(INDIRECT("W297")="Premium","17%","-"))</f>
        <v>17%</v>
      </c>
      <c r="Y297" s="7" t="s">
        <v>62</v>
      </c>
    </row>
    <row r="298" spans="1:25" ht="50" customHeight="1" x14ac:dyDescent="0.25">
      <c r="A298" s="5" t="s">
        <v>1021</v>
      </c>
      <c r="B298" s="5" t="s">
        <v>1469</v>
      </c>
      <c r="C298" s="5" t="s">
        <v>1470</v>
      </c>
      <c r="D298" s="5"/>
      <c r="E298" s="6" t="s">
        <v>1024</v>
      </c>
      <c r="F298" s="6" t="s">
        <v>1471</v>
      </c>
      <c r="G298" s="5" t="s">
        <v>1471</v>
      </c>
      <c r="H298" s="7">
        <v>12</v>
      </c>
      <c r="I298" s="7">
        <v>20.94</v>
      </c>
      <c r="J298" s="7" t="s">
        <v>58</v>
      </c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 t="s">
        <v>59</v>
      </c>
      <c r="V298" s="7" t="s">
        <v>101</v>
      </c>
      <c r="W298" s="7" t="s">
        <v>61</v>
      </c>
      <c r="X298" s="5" t="str">
        <f ca="1">IF(INDIRECT("W298")="Clássico","13%",IF(INDIRECT("W298")="Premium","17%","-"))</f>
        <v>13%</v>
      </c>
      <c r="Y298" s="7" t="s">
        <v>62</v>
      </c>
    </row>
    <row r="299" spans="1:25" ht="50" customHeight="1" x14ac:dyDescent="0.25">
      <c r="A299" s="5" t="s">
        <v>1262</v>
      </c>
      <c r="B299" s="5" t="s">
        <v>1472</v>
      </c>
      <c r="C299" s="5" t="s">
        <v>1264</v>
      </c>
      <c r="D299" s="5"/>
      <c r="E299" s="6" t="s">
        <v>1265</v>
      </c>
      <c r="F299" s="6" t="s">
        <v>1266</v>
      </c>
      <c r="G299" s="5" t="s">
        <v>1266</v>
      </c>
      <c r="H299" s="7">
        <v>6</v>
      </c>
      <c r="I299" s="7">
        <v>15.94</v>
      </c>
      <c r="J299" s="7" t="s">
        <v>58</v>
      </c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 t="s">
        <v>59</v>
      </c>
      <c r="V299" s="7" t="s">
        <v>60</v>
      </c>
      <c r="W299" s="7" t="s">
        <v>84</v>
      </c>
      <c r="X299" s="5" t="str">
        <f ca="1">IF(INDIRECT("W299")="Clássico","13%",IF(INDIRECT("W299")="Premium","17%","-"))</f>
        <v>17%</v>
      </c>
      <c r="Y299" s="7" t="s">
        <v>62</v>
      </c>
    </row>
    <row r="300" spans="1:25" ht="50" customHeight="1" x14ac:dyDescent="0.25">
      <c r="A300" s="5" t="s">
        <v>1473</v>
      </c>
      <c r="B300" s="5" t="s">
        <v>1474</v>
      </c>
      <c r="C300" s="5" t="s">
        <v>1475</v>
      </c>
      <c r="D300" s="5"/>
      <c r="E300" s="6" t="s">
        <v>1476</v>
      </c>
      <c r="F300" s="6" t="s">
        <v>1477</v>
      </c>
      <c r="G300" s="5" t="s">
        <v>1477</v>
      </c>
      <c r="H300" s="7">
        <v>6</v>
      </c>
      <c r="I300" s="7">
        <v>15.94</v>
      </c>
      <c r="J300" s="7" t="s">
        <v>58</v>
      </c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 t="s">
        <v>59</v>
      </c>
      <c r="V300" s="7" t="s">
        <v>60</v>
      </c>
      <c r="W300" s="7" t="s">
        <v>84</v>
      </c>
      <c r="X300" s="5" t="str">
        <f ca="1">IF(INDIRECT("W300")="Clássico","13%",IF(INDIRECT("W300")="Premium","17%","-"))</f>
        <v>17%</v>
      </c>
      <c r="Y300" s="7" t="s">
        <v>62</v>
      </c>
    </row>
    <row r="301" spans="1:25" ht="50" customHeight="1" x14ac:dyDescent="0.25">
      <c r="A301" s="5" t="s">
        <v>1478</v>
      </c>
      <c r="B301" s="5" t="s">
        <v>1479</v>
      </c>
      <c r="C301" s="5" t="s">
        <v>1480</v>
      </c>
      <c r="D301" s="5"/>
      <c r="E301" s="6" t="s">
        <v>1481</v>
      </c>
      <c r="F301" s="6" t="s">
        <v>1482</v>
      </c>
      <c r="G301" s="5" t="s">
        <v>1482</v>
      </c>
      <c r="H301" s="7">
        <v>6</v>
      </c>
      <c r="I301" s="7">
        <v>15.94</v>
      </c>
      <c r="J301" s="7" t="s">
        <v>58</v>
      </c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 t="s">
        <v>59</v>
      </c>
      <c r="V301" s="7" t="s">
        <v>60</v>
      </c>
      <c r="W301" s="7" t="s">
        <v>61</v>
      </c>
      <c r="X301" s="5" t="str">
        <f ca="1">IF(INDIRECT("W301")="Clássico","13%",IF(INDIRECT("W301")="Premium","17%","-"))</f>
        <v>13%</v>
      </c>
      <c r="Y301" s="7" t="s">
        <v>62</v>
      </c>
    </row>
    <row r="302" spans="1:25" ht="50" customHeight="1" x14ac:dyDescent="0.25">
      <c r="A302" s="5" t="s">
        <v>1483</v>
      </c>
      <c r="B302" s="5" t="s">
        <v>1484</v>
      </c>
      <c r="C302" s="5" t="s">
        <v>1485</v>
      </c>
      <c r="D302" s="5"/>
      <c r="E302" s="6" t="s">
        <v>1486</v>
      </c>
      <c r="F302" s="6" t="s">
        <v>1487</v>
      </c>
      <c r="G302" s="5" t="s">
        <v>1487</v>
      </c>
      <c r="H302" s="7">
        <v>12</v>
      </c>
      <c r="I302" s="7">
        <v>20.94</v>
      </c>
      <c r="J302" s="7" t="s">
        <v>58</v>
      </c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 t="s">
        <v>59</v>
      </c>
      <c r="V302" s="7" t="s">
        <v>101</v>
      </c>
      <c r="W302" s="7" t="s">
        <v>61</v>
      </c>
      <c r="X302" s="5" t="str">
        <f ca="1">IF(INDIRECT("W302")="Clássico","13%",IF(INDIRECT("W302")="Premium","17%","-"))</f>
        <v>13%</v>
      </c>
      <c r="Y302" s="7" t="s">
        <v>62</v>
      </c>
    </row>
    <row r="303" spans="1:25" ht="50" customHeight="1" x14ac:dyDescent="0.25">
      <c r="A303" s="5" t="s">
        <v>1488</v>
      </c>
      <c r="B303" s="5" t="s">
        <v>1489</v>
      </c>
      <c r="C303" s="5" t="s">
        <v>1490</v>
      </c>
      <c r="D303" s="5"/>
      <c r="E303" s="6" t="s">
        <v>1491</v>
      </c>
      <c r="F303" s="6" t="s">
        <v>1492</v>
      </c>
      <c r="G303" s="5" t="s">
        <v>1492</v>
      </c>
      <c r="H303" s="7">
        <v>8</v>
      </c>
      <c r="I303" s="7">
        <v>20.94</v>
      </c>
      <c r="J303" s="7" t="s">
        <v>58</v>
      </c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 t="s">
        <v>59</v>
      </c>
      <c r="V303" s="7" t="s">
        <v>101</v>
      </c>
      <c r="W303" s="7" t="s">
        <v>84</v>
      </c>
      <c r="X303" s="5" t="str">
        <f ca="1">IF(INDIRECT("W303")="Clássico","13%",IF(INDIRECT("W303")="Premium","17%","-"))</f>
        <v>17%</v>
      </c>
      <c r="Y303" s="7" t="s">
        <v>62</v>
      </c>
    </row>
    <row r="304" spans="1:25" ht="50" customHeight="1" x14ac:dyDescent="0.25">
      <c r="A304" s="5" t="s">
        <v>1493</v>
      </c>
      <c r="B304" s="5" t="s">
        <v>1494</v>
      </c>
      <c r="C304" s="5" t="s">
        <v>1495</v>
      </c>
      <c r="D304" s="5"/>
      <c r="E304" s="6" t="s">
        <v>1496</v>
      </c>
      <c r="F304" s="6" t="s">
        <v>1497</v>
      </c>
      <c r="G304" s="5" t="s">
        <v>1497</v>
      </c>
      <c r="H304" s="7">
        <v>12</v>
      </c>
      <c r="I304" s="7">
        <v>20.94</v>
      </c>
      <c r="J304" s="7" t="s">
        <v>58</v>
      </c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 t="s">
        <v>59</v>
      </c>
      <c r="V304" s="7" t="s">
        <v>101</v>
      </c>
      <c r="W304" s="7" t="s">
        <v>61</v>
      </c>
      <c r="X304" s="5" t="str">
        <f ca="1">IF(INDIRECT("W304")="Clássico","13%",IF(INDIRECT("W304")="Premium","17%","-"))</f>
        <v>13%</v>
      </c>
      <c r="Y304" s="7" t="s">
        <v>62</v>
      </c>
    </row>
    <row r="305" spans="1:25" ht="50" customHeight="1" x14ac:dyDescent="0.25">
      <c r="A305" s="5" t="s">
        <v>1498</v>
      </c>
      <c r="B305" s="5" t="s">
        <v>1499</v>
      </c>
      <c r="C305" s="5" t="s">
        <v>1500</v>
      </c>
      <c r="D305" s="5"/>
      <c r="E305" s="6" t="s">
        <v>1501</v>
      </c>
      <c r="F305" s="6" t="s">
        <v>1502</v>
      </c>
      <c r="G305" s="5" t="s">
        <v>1502</v>
      </c>
      <c r="H305" s="7">
        <v>12</v>
      </c>
      <c r="I305" s="7">
        <v>20.94</v>
      </c>
      <c r="J305" s="7" t="s">
        <v>58</v>
      </c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 t="s">
        <v>59</v>
      </c>
      <c r="V305" s="7" t="s">
        <v>101</v>
      </c>
      <c r="W305" s="7" t="s">
        <v>61</v>
      </c>
      <c r="X305" s="5" t="str">
        <f ca="1">IF(INDIRECT("W305")="Clássico","13%",IF(INDIRECT("W305")="Premium","17%","-"))</f>
        <v>13%</v>
      </c>
      <c r="Y305" s="7" t="s">
        <v>62</v>
      </c>
    </row>
    <row r="306" spans="1:25" ht="50" customHeight="1" x14ac:dyDescent="0.25">
      <c r="A306" s="5" t="s">
        <v>1503</v>
      </c>
      <c r="B306" s="5" t="s">
        <v>1504</v>
      </c>
      <c r="C306" s="5" t="s">
        <v>1505</v>
      </c>
      <c r="D306" s="5"/>
      <c r="E306" s="6" t="s">
        <v>1506</v>
      </c>
      <c r="F306" s="6" t="s">
        <v>1507</v>
      </c>
      <c r="G306" s="5" t="s">
        <v>1507</v>
      </c>
      <c r="H306" s="7">
        <v>12</v>
      </c>
      <c r="I306" s="7">
        <v>20.94</v>
      </c>
      <c r="J306" s="7" t="s">
        <v>58</v>
      </c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 t="s">
        <v>59</v>
      </c>
      <c r="V306" s="7" t="s">
        <v>101</v>
      </c>
      <c r="W306" s="7" t="s">
        <v>61</v>
      </c>
      <c r="X306" s="5" t="str">
        <f ca="1">IF(INDIRECT("W306")="Clássico","13%",IF(INDIRECT("W306")="Premium","17%","-"))</f>
        <v>13%</v>
      </c>
      <c r="Y306" s="7" t="s">
        <v>62</v>
      </c>
    </row>
    <row r="307" spans="1:25" ht="50" customHeight="1" x14ac:dyDescent="0.25">
      <c r="A307" s="5" t="s">
        <v>568</v>
      </c>
      <c r="B307" s="5" t="s">
        <v>1508</v>
      </c>
      <c r="C307" s="5" t="s">
        <v>1509</v>
      </c>
      <c r="D307" s="5"/>
      <c r="E307" s="6" t="s">
        <v>571</v>
      </c>
      <c r="F307" s="6" t="s">
        <v>1510</v>
      </c>
      <c r="G307" s="5" t="s">
        <v>1510</v>
      </c>
      <c r="H307" s="7">
        <v>12</v>
      </c>
      <c r="I307" s="7">
        <v>23.74</v>
      </c>
      <c r="J307" s="7" t="s">
        <v>58</v>
      </c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 t="s">
        <v>59</v>
      </c>
      <c r="V307" s="7" t="s">
        <v>101</v>
      </c>
      <c r="W307" s="7" t="s">
        <v>84</v>
      </c>
      <c r="X307" s="5" t="str">
        <f ca="1">IF(INDIRECT("W307")="Clássico","13%",IF(INDIRECT("W307")="Premium","17%","-"))</f>
        <v>17%</v>
      </c>
      <c r="Y307" s="7" t="s">
        <v>62</v>
      </c>
    </row>
    <row r="308" spans="1:25" ht="50" customHeight="1" x14ac:dyDescent="0.25">
      <c r="A308" s="5" t="s">
        <v>1511</v>
      </c>
      <c r="B308" s="5" t="s">
        <v>1512</v>
      </c>
      <c r="C308" s="5" t="s">
        <v>1513</v>
      </c>
      <c r="D308" s="5"/>
      <c r="E308" s="6" t="s">
        <v>1514</v>
      </c>
      <c r="F308" s="6" t="s">
        <v>1515</v>
      </c>
      <c r="G308" s="5" t="s">
        <v>1515</v>
      </c>
      <c r="H308" s="7">
        <v>12</v>
      </c>
      <c r="I308" s="7">
        <v>23.74</v>
      </c>
      <c r="J308" s="7" t="s">
        <v>58</v>
      </c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 t="s">
        <v>59</v>
      </c>
      <c r="V308" s="7" t="s">
        <v>101</v>
      </c>
      <c r="W308" s="7" t="s">
        <v>61</v>
      </c>
      <c r="X308" s="5" t="str">
        <f ca="1">IF(INDIRECT("W308")="Clássico","13%",IF(INDIRECT("W308")="Premium","17%","-"))</f>
        <v>13%</v>
      </c>
      <c r="Y308" s="7" t="s">
        <v>62</v>
      </c>
    </row>
    <row r="309" spans="1:25" ht="50" customHeight="1" x14ac:dyDescent="0.25">
      <c r="A309" s="5" t="s">
        <v>1516</v>
      </c>
      <c r="B309" s="5" t="s">
        <v>1517</v>
      </c>
      <c r="C309" s="5" t="s">
        <v>1518</v>
      </c>
      <c r="D309" s="5"/>
      <c r="E309" s="6" t="s">
        <v>1519</v>
      </c>
      <c r="F309" s="6" t="s">
        <v>1520</v>
      </c>
      <c r="G309" s="5" t="s">
        <v>1520</v>
      </c>
      <c r="H309" s="7">
        <v>12</v>
      </c>
      <c r="I309" s="7">
        <v>23.74</v>
      </c>
      <c r="J309" s="7" t="s">
        <v>58</v>
      </c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 t="s">
        <v>59</v>
      </c>
      <c r="V309" s="7" t="s">
        <v>101</v>
      </c>
      <c r="W309" s="7" t="s">
        <v>84</v>
      </c>
      <c r="X309" s="5" t="str">
        <f ca="1">IF(INDIRECT("W309")="Clássico","13%",IF(INDIRECT("W309")="Premium","17%","-"))</f>
        <v>17%</v>
      </c>
      <c r="Y309" s="7" t="s">
        <v>62</v>
      </c>
    </row>
    <row r="310" spans="1:25" ht="50" customHeight="1" x14ac:dyDescent="0.25">
      <c r="A310" s="5" t="s">
        <v>1521</v>
      </c>
      <c r="B310" s="5" t="s">
        <v>1522</v>
      </c>
      <c r="C310" s="5" t="s">
        <v>1523</v>
      </c>
      <c r="D310" s="5"/>
      <c r="E310" s="6" t="s">
        <v>1524</v>
      </c>
      <c r="F310" s="6" t="s">
        <v>1525</v>
      </c>
      <c r="G310" s="5" t="s">
        <v>1525</v>
      </c>
      <c r="H310" s="7">
        <v>36</v>
      </c>
      <c r="I310" s="7">
        <v>21.59</v>
      </c>
      <c r="J310" s="7" t="s">
        <v>58</v>
      </c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 t="s">
        <v>59</v>
      </c>
      <c r="V310" s="7" t="s">
        <v>1526</v>
      </c>
      <c r="W310" s="7" t="s">
        <v>84</v>
      </c>
      <c r="X310" s="5" t="str">
        <f ca="1">IF(INDIRECT("W310")="Clássico","13%",IF(INDIRECT("W310")="Premium","17%","-"))</f>
        <v>17%</v>
      </c>
      <c r="Y310" s="7" t="s">
        <v>62</v>
      </c>
    </row>
    <row r="311" spans="1:25" ht="50" customHeight="1" x14ac:dyDescent="0.25">
      <c r="A311" s="5" t="s">
        <v>1365</v>
      </c>
      <c r="B311" s="5" t="s">
        <v>1527</v>
      </c>
      <c r="C311" s="5" t="s">
        <v>1528</v>
      </c>
      <c r="D311" s="5"/>
      <c r="E311" s="6" t="s">
        <v>1368</v>
      </c>
      <c r="F311" s="6" t="s">
        <v>1529</v>
      </c>
      <c r="G311" s="5" t="s">
        <v>1529</v>
      </c>
      <c r="H311" s="7">
        <v>2</v>
      </c>
      <c r="I311" s="7">
        <v>24.99</v>
      </c>
      <c r="J311" s="7" t="s">
        <v>58</v>
      </c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 t="s">
        <v>59</v>
      </c>
      <c r="V311" s="7" t="s">
        <v>60</v>
      </c>
      <c r="W311" s="7" t="s">
        <v>61</v>
      </c>
      <c r="X311" s="5" t="str">
        <f ca="1">IF(INDIRECT("W311")="Clássico","13%",IF(INDIRECT("W311")="Premium","17%","-"))</f>
        <v>13%</v>
      </c>
      <c r="Y311" s="7" t="s">
        <v>62</v>
      </c>
    </row>
    <row r="312" spans="1:25" ht="50" customHeight="1" x14ac:dyDescent="0.25">
      <c r="A312" s="5" t="s">
        <v>1530</v>
      </c>
      <c r="B312" s="5" t="s">
        <v>1531</v>
      </c>
      <c r="C312" s="5" t="s">
        <v>1532</v>
      </c>
      <c r="D312" s="5"/>
      <c r="E312" s="6" t="s">
        <v>1533</v>
      </c>
      <c r="F312" s="6" t="s">
        <v>1534</v>
      </c>
      <c r="G312" s="5" t="s">
        <v>1534</v>
      </c>
      <c r="H312" s="7">
        <v>11</v>
      </c>
      <c r="I312" s="7">
        <v>20.94</v>
      </c>
      <c r="J312" s="7" t="s">
        <v>58</v>
      </c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 t="s">
        <v>59</v>
      </c>
      <c r="V312" s="7" t="s">
        <v>101</v>
      </c>
      <c r="W312" s="7" t="s">
        <v>61</v>
      </c>
      <c r="X312" s="5" t="str">
        <f ca="1">IF(INDIRECT("W312")="Clássico","13%",IF(INDIRECT("W312")="Premium","17%","-"))</f>
        <v>13%</v>
      </c>
      <c r="Y312" s="7" t="s">
        <v>62</v>
      </c>
    </row>
    <row r="313" spans="1:25" ht="50" customHeight="1" x14ac:dyDescent="0.25">
      <c r="A313" s="5" t="s">
        <v>1535</v>
      </c>
      <c r="B313" s="5" t="s">
        <v>1536</v>
      </c>
      <c r="C313" s="5" t="s">
        <v>1537</v>
      </c>
      <c r="D313" s="5"/>
      <c r="E313" s="6" t="s">
        <v>1538</v>
      </c>
      <c r="F313" s="6" t="s">
        <v>1539</v>
      </c>
      <c r="G313" s="5" t="s">
        <v>1539</v>
      </c>
      <c r="H313" s="7">
        <v>12</v>
      </c>
      <c r="I313" s="7">
        <v>20.94</v>
      </c>
      <c r="J313" s="7" t="s">
        <v>58</v>
      </c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 t="s">
        <v>59</v>
      </c>
      <c r="V313" s="7" t="s">
        <v>101</v>
      </c>
      <c r="W313" s="7" t="s">
        <v>84</v>
      </c>
      <c r="X313" s="5" t="str">
        <f ca="1">IF(INDIRECT("W313")="Clássico","13%",IF(INDIRECT("W313")="Premium","17%","-"))</f>
        <v>17%</v>
      </c>
      <c r="Y313" s="7" t="s">
        <v>62</v>
      </c>
    </row>
    <row r="314" spans="1:25" ht="50" customHeight="1" x14ac:dyDescent="0.25">
      <c r="A314" s="5" t="s">
        <v>1540</v>
      </c>
      <c r="B314" s="5" t="s">
        <v>1541</v>
      </c>
      <c r="C314" s="5" t="s">
        <v>1542</v>
      </c>
      <c r="D314" s="5"/>
      <c r="E314" s="6" t="s">
        <v>1543</v>
      </c>
      <c r="F314" s="6" t="s">
        <v>1544</v>
      </c>
      <c r="G314" s="5" t="s">
        <v>1544</v>
      </c>
      <c r="H314" s="7">
        <v>6</v>
      </c>
      <c r="I314" s="7">
        <v>14.69</v>
      </c>
      <c r="J314" s="7" t="s">
        <v>58</v>
      </c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 t="s">
        <v>59</v>
      </c>
      <c r="V314" s="7" t="s">
        <v>60</v>
      </c>
      <c r="W314" s="7" t="s">
        <v>84</v>
      </c>
      <c r="X314" s="5" t="str">
        <f ca="1">IF(INDIRECT("W314")="Clássico","13%",IF(INDIRECT("W314")="Premium","17%","-"))</f>
        <v>17%</v>
      </c>
      <c r="Y314" s="7" t="s">
        <v>62</v>
      </c>
    </row>
    <row r="315" spans="1:25" ht="50" customHeight="1" x14ac:dyDescent="0.25">
      <c r="A315" s="5" t="s">
        <v>1545</v>
      </c>
      <c r="B315" s="5" t="s">
        <v>1546</v>
      </c>
      <c r="C315" s="5" t="s">
        <v>1547</v>
      </c>
      <c r="D315" s="5"/>
      <c r="E315" s="6" t="s">
        <v>1548</v>
      </c>
      <c r="F315" s="6" t="s">
        <v>1549</v>
      </c>
      <c r="G315" s="5" t="s">
        <v>1549</v>
      </c>
      <c r="H315" s="7">
        <v>4</v>
      </c>
      <c r="I315" s="7">
        <v>35.49</v>
      </c>
      <c r="J315" s="7" t="s">
        <v>58</v>
      </c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 t="s">
        <v>59</v>
      </c>
      <c r="V315" s="7" t="s">
        <v>60</v>
      </c>
      <c r="W315" s="7" t="s">
        <v>84</v>
      </c>
      <c r="X315" s="5" t="str">
        <f ca="1">IF(INDIRECT("W315")="Clássico","13%",IF(INDIRECT("W315")="Premium","17%","-"))</f>
        <v>17%</v>
      </c>
      <c r="Y315" s="7" t="s">
        <v>62</v>
      </c>
    </row>
    <row r="316" spans="1:25" ht="50" customHeight="1" x14ac:dyDescent="0.25">
      <c r="A316" s="5" t="s">
        <v>563</v>
      </c>
      <c r="B316" s="5" t="s">
        <v>1550</v>
      </c>
      <c r="C316" s="5" t="s">
        <v>1551</v>
      </c>
      <c r="D316" s="5"/>
      <c r="E316" s="6" t="s">
        <v>566</v>
      </c>
      <c r="F316" s="6" t="s">
        <v>1552</v>
      </c>
      <c r="G316" s="5" t="s">
        <v>1552</v>
      </c>
      <c r="H316" s="7">
        <v>12</v>
      </c>
      <c r="I316" s="7">
        <v>23.74</v>
      </c>
      <c r="J316" s="7" t="s">
        <v>58</v>
      </c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 t="s">
        <v>59</v>
      </c>
      <c r="V316" s="7" t="s">
        <v>101</v>
      </c>
      <c r="W316" s="7" t="s">
        <v>61</v>
      </c>
      <c r="X316" s="5" t="str">
        <f ca="1">IF(INDIRECT("W316")="Clássico","13%",IF(INDIRECT("W316")="Premium","17%","-"))</f>
        <v>13%</v>
      </c>
      <c r="Y316" s="7" t="s">
        <v>62</v>
      </c>
    </row>
    <row r="317" spans="1:25" ht="50" customHeight="1" x14ac:dyDescent="0.25">
      <c r="A317" s="5" t="s">
        <v>1553</v>
      </c>
      <c r="B317" s="5" t="s">
        <v>1554</v>
      </c>
      <c r="C317" s="5" t="s">
        <v>1555</v>
      </c>
      <c r="D317" s="5"/>
      <c r="E317" s="6" t="s">
        <v>1556</v>
      </c>
      <c r="F317" s="6" t="s">
        <v>1557</v>
      </c>
      <c r="G317" s="5" t="s">
        <v>1557</v>
      </c>
      <c r="H317" s="7">
        <v>12</v>
      </c>
      <c r="I317" s="7">
        <v>20.94</v>
      </c>
      <c r="J317" s="7" t="s">
        <v>58</v>
      </c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 t="s">
        <v>59</v>
      </c>
      <c r="V317" s="7" t="s">
        <v>101</v>
      </c>
      <c r="W317" s="7" t="s">
        <v>84</v>
      </c>
      <c r="X317" s="5" t="str">
        <f ca="1">IF(INDIRECT("W317")="Clássico","13%",IF(INDIRECT("W317")="Premium","17%","-"))</f>
        <v>17%</v>
      </c>
      <c r="Y317" s="7" t="s">
        <v>62</v>
      </c>
    </row>
    <row r="318" spans="1:25" ht="50" customHeight="1" x14ac:dyDescent="0.25">
      <c r="A318" s="5" t="s">
        <v>816</v>
      </c>
      <c r="B318" s="5" t="s">
        <v>1558</v>
      </c>
      <c r="C318" s="5" t="s">
        <v>1559</v>
      </c>
      <c r="D318" s="5"/>
      <c r="E318" s="6" t="s">
        <v>819</v>
      </c>
      <c r="F318" s="6" t="s">
        <v>1560</v>
      </c>
      <c r="G318" s="5" t="s">
        <v>1560</v>
      </c>
      <c r="H318" s="7">
        <v>12</v>
      </c>
      <c r="I318" s="7">
        <v>23.74</v>
      </c>
      <c r="J318" s="7" t="s">
        <v>58</v>
      </c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 t="s">
        <v>59</v>
      </c>
      <c r="V318" s="7" t="s">
        <v>101</v>
      </c>
      <c r="W318" s="7" t="s">
        <v>84</v>
      </c>
      <c r="X318" s="5" t="str">
        <f ca="1">IF(INDIRECT("W318")="Clássico","13%",IF(INDIRECT("W318")="Premium","17%","-"))</f>
        <v>17%</v>
      </c>
      <c r="Y318" s="7" t="s">
        <v>62</v>
      </c>
    </row>
    <row r="319" spans="1:25" ht="50" customHeight="1" x14ac:dyDescent="0.25">
      <c r="A319" s="5" t="s">
        <v>558</v>
      </c>
      <c r="B319" s="5" t="s">
        <v>1561</v>
      </c>
      <c r="C319" s="5" t="s">
        <v>1562</v>
      </c>
      <c r="D319" s="5"/>
      <c r="E319" s="6" t="s">
        <v>561</v>
      </c>
      <c r="F319" s="6" t="s">
        <v>1563</v>
      </c>
      <c r="G319" s="5" t="s">
        <v>1563</v>
      </c>
      <c r="H319" s="7">
        <v>12</v>
      </c>
      <c r="I319" s="7">
        <v>23.74</v>
      </c>
      <c r="J319" s="7" t="s">
        <v>58</v>
      </c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 t="s">
        <v>59</v>
      </c>
      <c r="V319" s="7" t="s">
        <v>101</v>
      </c>
      <c r="W319" s="7" t="s">
        <v>84</v>
      </c>
      <c r="X319" s="5" t="str">
        <f ca="1">IF(INDIRECT("W319")="Clássico","13%",IF(INDIRECT("W319")="Premium","17%","-"))</f>
        <v>17%</v>
      </c>
      <c r="Y319" s="7" t="s">
        <v>62</v>
      </c>
    </row>
    <row r="320" spans="1:25" ht="50" customHeight="1" x14ac:dyDescent="0.25">
      <c r="A320" s="5" t="s">
        <v>1272</v>
      </c>
      <c r="B320" s="5" t="s">
        <v>1564</v>
      </c>
      <c r="C320" s="5" t="s">
        <v>1565</v>
      </c>
      <c r="D320" s="5"/>
      <c r="E320" s="6" t="s">
        <v>1275</v>
      </c>
      <c r="F320" s="6" t="s">
        <v>1566</v>
      </c>
      <c r="G320" s="5" t="s">
        <v>1566</v>
      </c>
      <c r="H320" s="7">
        <v>4</v>
      </c>
      <c r="I320" s="7">
        <v>24.99</v>
      </c>
      <c r="J320" s="7" t="s">
        <v>58</v>
      </c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 t="s">
        <v>59</v>
      </c>
      <c r="V320" s="7" t="s">
        <v>60</v>
      </c>
      <c r="W320" s="7" t="s">
        <v>61</v>
      </c>
      <c r="X320" s="5" t="str">
        <f ca="1">IF(INDIRECT("W320")="Clássico","13%",IF(INDIRECT("W320")="Premium","17%","-"))</f>
        <v>13%</v>
      </c>
      <c r="Y320" s="7" t="s">
        <v>62</v>
      </c>
    </row>
    <row r="321" spans="1:25" ht="50" customHeight="1" x14ac:dyDescent="0.25">
      <c r="A321" s="5" t="s">
        <v>1567</v>
      </c>
      <c r="B321" s="5" t="s">
        <v>1568</v>
      </c>
      <c r="C321" s="5" t="s">
        <v>1569</v>
      </c>
      <c r="D321" s="5"/>
      <c r="E321" s="6" t="s">
        <v>1570</v>
      </c>
      <c r="F321" s="6" t="s">
        <v>1571</v>
      </c>
      <c r="G321" s="5" t="s">
        <v>1571</v>
      </c>
      <c r="H321" s="7">
        <v>1</v>
      </c>
      <c r="I321" s="7">
        <v>24.99</v>
      </c>
      <c r="J321" s="7" t="s">
        <v>58</v>
      </c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 t="s">
        <v>59</v>
      </c>
      <c r="V321" s="7" t="s">
        <v>60</v>
      </c>
      <c r="W321" s="7" t="s">
        <v>84</v>
      </c>
      <c r="X321" s="5" t="str">
        <f ca="1">IF(INDIRECT("W321")="Clássico","13%",IF(INDIRECT("W321")="Premium","17%","-"))</f>
        <v>17%</v>
      </c>
      <c r="Y321" s="7" t="s">
        <v>62</v>
      </c>
    </row>
    <row r="322" spans="1:25" ht="50" customHeight="1" x14ac:dyDescent="0.25">
      <c r="A322" s="5" t="s">
        <v>1572</v>
      </c>
      <c r="B322" s="5" t="s">
        <v>1573</v>
      </c>
      <c r="C322" s="5" t="s">
        <v>1574</v>
      </c>
      <c r="D322" s="5"/>
      <c r="E322" s="6" t="s">
        <v>1575</v>
      </c>
      <c r="F322" s="6" t="s">
        <v>1576</v>
      </c>
      <c r="G322" s="5" t="s">
        <v>1576</v>
      </c>
      <c r="H322" s="7">
        <v>2</v>
      </c>
      <c r="I322" s="7">
        <v>24.99</v>
      </c>
      <c r="J322" s="7" t="s">
        <v>58</v>
      </c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 t="s">
        <v>59</v>
      </c>
      <c r="V322" s="7" t="s">
        <v>60</v>
      </c>
      <c r="W322" s="7" t="s">
        <v>84</v>
      </c>
      <c r="X322" s="5" t="str">
        <f ca="1">IF(INDIRECT("W322")="Clássico","13%",IF(INDIRECT("W322")="Premium","17%","-"))</f>
        <v>17%</v>
      </c>
      <c r="Y322" s="7" t="s">
        <v>62</v>
      </c>
    </row>
    <row r="323" spans="1:25" ht="50" customHeight="1" x14ac:dyDescent="0.25">
      <c r="A323" s="5" t="s">
        <v>1577</v>
      </c>
      <c r="B323" s="5" t="s">
        <v>1578</v>
      </c>
      <c r="C323" s="5" t="s">
        <v>1579</v>
      </c>
      <c r="D323" s="5"/>
      <c r="E323" s="6" t="s">
        <v>1580</v>
      </c>
      <c r="F323" s="6" t="s">
        <v>1581</v>
      </c>
      <c r="G323" s="5" t="s">
        <v>1581</v>
      </c>
      <c r="H323" s="7">
        <v>6</v>
      </c>
      <c r="I323" s="7">
        <v>24.99</v>
      </c>
      <c r="J323" s="7" t="s">
        <v>58</v>
      </c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 t="s">
        <v>59</v>
      </c>
      <c r="V323" s="7" t="s">
        <v>60</v>
      </c>
      <c r="W323" s="7" t="s">
        <v>61</v>
      </c>
      <c r="X323" s="5" t="str">
        <f ca="1">IF(INDIRECT("W323")="Clássico","13%",IF(INDIRECT("W323")="Premium","17%","-"))</f>
        <v>13%</v>
      </c>
      <c r="Y323" s="7" t="s">
        <v>62</v>
      </c>
    </row>
    <row r="324" spans="1:25" ht="50" customHeight="1" x14ac:dyDescent="0.25">
      <c r="A324" s="5" t="s">
        <v>1287</v>
      </c>
      <c r="B324" s="5" t="s">
        <v>1582</v>
      </c>
      <c r="C324" s="5" t="s">
        <v>1289</v>
      </c>
      <c r="D324" s="5"/>
      <c r="E324" s="6" t="s">
        <v>1290</v>
      </c>
      <c r="F324" s="6" t="s">
        <v>1291</v>
      </c>
      <c r="G324" s="5" t="s">
        <v>1291</v>
      </c>
      <c r="H324" s="7">
        <v>6</v>
      </c>
      <c r="I324" s="7">
        <v>21.24</v>
      </c>
      <c r="J324" s="7" t="s">
        <v>58</v>
      </c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 t="s">
        <v>59</v>
      </c>
      <c r="V324" s="7" t="s">
        <v>60</v>
      </c>
      <c r="W324" s="7" t="s">
        <v>84</v>
      </c>
      <c r="X324" s="5" t="str">
        <f ca="1">IF(INDIRECT("W324")="Clássico","12%",IF(INDIRECT("W324")="Premium","17%","-"))</f>
        <v>17%</v>
      </c>
      <c r="Y324" s="7" t="s">
        <v>62</v>
      </c>
    </row>
    <row r="325" spans="1:25" ht="50" customHeight="1" x14ac:dyDescent="0.25">
      <c r="A325" s="5" t="s">
        <v>1583</v>
      </c>
      <c r="B325" s="5" t="s">
        <v>1584</v>
      </c>
      <c r="C325" s="5" t="s">
        <v>1585</v>
      </c>
      <c r="D325" s="5"/>
      <c r="E325" s="6" t="s">
        <v>1586</v>
      </c>
      <c r="F325" s="6" t="s">
        <v>1587</v>
      </c>
      <c r="G325" s="5" t="s">
        <v>1587</v>
      </c>
      <c r="H325" s="7">
        <v>4</v>
      </c>
      <c r="I325" s="7">
        <v>24.99</v>
      </c>
      <c r="J325" s="7" t="s">
        <v>58</v>
      </c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 t="s">
        <v>59</v>
      </c>
      <c r="V325" s="7" t="s">
        <v>60</v>
      </c>
      <c r="W325" s="7" t="s">
        <v>61</v>
      </c>
      <c r="X325" s="5" t="str">
        <f ca="1">IF(INDIRECT("W325")="Clássico","13%",IF(INDIRECT("W325")="Premium","17%","-"))</f>
        <v>13%</v>
      </c>
      <c r="Y325" s="7" t="s">
        <v>62</v>
      </c>
    </row>
    <row r="326" spans="1:25" ht="50" customHeight="1" x14ac:dyDescent="0.25">
      <c r="A326" s="5" t="s">
        <v>1588</v>
      </c>
      <c r="B326" s="5" t="s">
        <v>1589</v>
      </c>
      <c r="C326" s="5" t="s">
        <v>1590</v>
      </c>
      <c r="D326" s="5"/>
      <c r="E326" s="6" t="s">
        <v>1591</v>
      </c>
      <c r="F326" s="6" t="s">
        <v>1592</v>
      </c>
      <c r="G326" s="5" t="s">
        <v>1592</v>
      </c>
      <c r="H326" s="7">
        <v>24</v>
      </c>
      <c r="I326" s="7">
        <v>19.989999999999998</v>
      </c>
      <c r="J326" s="7" t="s">
        <v>58</v>
      </c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 t="s">
        <v>59</v>
      </c>
      <c r="V326" s="7" t="s">
        <v>60</v>
      </c>
      <c r="W326" s="7" t="s">
        <v>61</v>
      </c>
      <c r="X326" s="5" t="str">
        <f ca="1">IF(INDIRECT("W326")="Clássico","13%",IF(INDIRECT("W326")="Premium","17%","-"))</f>
        <v>13%</v>
      </c>
      <c r="Y326" s="7" t="s">
        <v>62</v>
      </c>
    </row>
    <row r="327" spans="1:25" ht="50" customHeight="1" x14ac:dyDescent="0.25">
      <c r="A327" s="5" t="s">
        <v>344</v>
      </c>
      <c r="B327" s="5" t="s">
        <v>1593</v>
      </c>
      <c r="C327" s="5" t="s">
        <v>346</v>
      </c>
      <c r="D327" s="5"/>
      <c r="E327" s="6" t="s">
        <v>347</v>
      </c>
      <c r="F327" s="6" t="s">
        <v>348</v>
      </c>
      <c r="G327" s="5" t="s">
        <v>348</v>
      </c>
      <c r="H327" s="7">
        <v>12</v>
      </c>
      <c r="I327" s="7">
        <v>26.24</v>
      </c>
      <c r="J327" s="7" t="s">
        <v>58</v>
      </c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 t="s">
        <v>59</v>
      </c>
      <c r="V327" s="7" t="s">
        <v>60</v>
      </c>
      <c r="W327" s="7" t="s">
        <v>84</v>
      </c>
      <c r="X327" s="5" t="str">
        <f ca="1">IF(INDIRECT("W327")="Clássico","13%",IF(INDIRECT("W327")="Premium","17%","-"))</f>
        <v>17%</v>
      </c>
      <c r="Y327" s="7" t="s">
        <v>62</v>
      </c>
    </row>
    <row r="328" spans="1:25" ht="50" customHeight="1" x14ac:dyDescent="0.25">
      <c r="A328" s="5" t="s">
        <v>349</v>
      </c>
      <c r="B328" s="5" t="s">
        <v>1594</v>
      </c>
      <c r="C328" s="5" t="s">
        <v>351</v>
      </c>
      <c r="D328" s="5"/>
      <c r="E328" s="6" t="s">
        <v>352</v>
      </c>
      <c r="F328" s="6" t="s">
        <v>353</v>
      </c>
      <c r="G328" s="5" t="s">
        <v>353</v>
      </c>
      <c r="H328" s="7">
        <v>4</v>
      </c>
      <c r="I328" s="7">
        <v>35.49</v>
      </c>
      <c r="J328" s="7" t="s">
        <v>58</v>
      </c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 t="s">
        <v>59</v>
      </c>
      <c r="V328" s="7" t="s">
        <v>60</v>
      </c>
      <c r="W328" s="7" t="s">
        <v>84</v>
      </c>
      <c r="X328" s="5" t="str">
        <f ca="1">IF(INDIRECT("W328")="Clássico","13%",IF(INDIRECT("W328")="Premium","17%","-"))</f>
        <v>17%</v>
      </c>
      <c r="Y328" s="7" t="s">
        <v>62</v>
      </c>
    </row>
    <row r="329" spans="1:25" ht="50" customHeight="1" x14ac:dyDescent="0.25">
      <c r="A329" s="5" t="s">
        <v>1595</v>
      </c>
      <c r="B329" s="5" t="s">
        <v>1596</v>
      </c>
      <c r="C329" s="5" t="s">
        <v>1597</v>
      </c>
      <c r="D329" s="5"/>
      <c r="E329" s="6" t="s">
        <v>1598</v>
      </c>
      <c r="F329" s="6" t="s">
        <v>1599</v>
      </c>
      <c r="G329" s="5" t="s">
        <v>1599</v>
      </c>
      <c r="H329" s="7">
        <v>3</v>
      </c>
      <c r="I329" s="7">
        <v>27.49</v>
      </c>
      <c r="J329" s="7" t="s">
        <v>58</v>
      </c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 t="s">
        <v>59</v>
      </c>
      <c r="V329" s="7" t="s">
        <v>60</v>
      </c>
      <c r="W329" s="7" t="s">
        <v>61</v>
      </c>
      <c r="X329" s="5" t="str">
        <f ca="1">IF(INDIRECT("W329")="Clássico","13%",IF(INDIRECT("W329")="Premium","17%","-"))</f>
        <v>13%</v>
      </c>
      <c r="Y329" s="7" t="s">
        <v>62</v>
      </c>
    </row>
    <row r="330" spans="1:25" ht="50" customHeight="1" x14ac:dyDescent="0.25">
      <c r="A330" s="5" t="s">
        <v>1600</v>
      </c>
      <c r="B330" s="5" t="s">
        <v>1601</v>
      </c>
      <c r="C330" s="5" t="s">
        <v>1602</v>
      </c>
      <c r="D330" s="5"/>
      <c r="E330" s="6" t="s">
        <v>1603</v>
      </c>
      <c r="F330" s="6" t="s">
        <v>1604</v>
      </c>
      <c r="G330" s="5" t="s">
        <v>1604</v>
      </c>
      <c r="H330" s="7">
        <v>48</v>
      </c>
      <c r="I330" s="7">
        <v>24.99</v>
      </c>
      <c r="J330" s="7" t="s">
        <v>58</v>
      </c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 t="s">
        <v>59</v>
      </c>
      <c r="V330" s="7" t="s">
        <v>60</v>
      </c>
      <c r="W330" s="7" t="s">
        <v>61</v>
      </c>
      <c r="X330" s="5" t="str">
        <f ca="1">IF(INDIRECT("W330")="Clássico","13%",IF(INDIRECT("W330")="Premium","17%","-"))</f>
        <v>13%</v>
      </c>
      <c r="Y330" s="7" t="s">
        <v>62</v>
      </c>
    </row>
    <row r="331" spans="1:25" ht="50" customHeight="1" x14ac:dyDescent="0.25">
      <c r="A331" s="5" t="s">
        <v>1605</v>
      </c>
      <c r="B331" s="5" t="s">
        <v>1606</v>
      </c>
      <c r="C331" s="5" t="s">
        <v>1607</v>
      </c>
      <c r="D331" s="5"/>
      <c r="E331" s="6" t="s">
        <v>1608</v>
      </c>
      <c r="F331" s="6" t="s">
        <v>1609</v>
      </c>
      <c r="G331" s="5" t="s">
        <v>1609</v>
      </c>
      <c r="H331" s="7">
        <v>11</v>
      </c>
      <c r="I331" s="7">
        <v>17.489999999999998</v>
      </c>
      <c r="J331" s="7" t="s">
        <v>58</v>
      </c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 t="s">
        <v>59</v>
      </c>
      <c r="V331" s="7" t="s">
        <v>60</v>
      </c>
      <c r="W331" s="7" t="s">
        <v>61</v>
      </c>
      <c r="X331" s="5" t="str">
        <f ca="1">IF(INDIRECT("W331")="Clássico","13%",IF(INDIRECT("W331")="Premium","17%","-"))</f>
        <v>13%</v>
      </c>
      <c r="Y331" s="7" t="s">
        <v>62</v>
      </c>
    </row>
    <row r="332" spans="1:25" ht="50" customHeight="1" x14ac:dyDescent="0.25">
      <c r="A332" s="5" t="s">
        <v>1610</v>
      </c>
      <c r="B332" s="5" t="s">
        <v>1611</v>
      </c>
      <c r="C332" s="5" t="s">
        <v>1612</v>
      </c>
      <c r="D332" s="5"/>
      <c r="E332" s="6" t="s">
        <v>1613</v>
      </c>
      <c r="F332" s="6" t="s">
        <v>1614</v>
      </c>
      <c r="G332" s="5" t="s">
        <v>1614</v>
      </c>
      <c r="H332" s="7">
        <v>12</v>
      </c>
      <c r="I332" s="7">
        <v>17.489999999999998</v>
      </c>
      <c r="J332" s="7" t="s">
        <v>58</v>
      </c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 t="s">
        <v>59</v>
      </c>
      <c r="V332" s="7" t="s">
        <v>60</v>
      </c>
      <c r="W332" s="7" t="s">
        <v>61</v>
      </c>
      <c r="X332" s="5" t="str">
        <f ca="1">IF(INDIRECT("W332")="Clássico","13%",IF(INDIRECT("W332")="Premium","17%","-"))</f>
        <v>13%</v>
      </c>
      <c r="Y332" s="7" t="s">
        <v>62</v>
      </c>
    </row>
    <row r="333" spans="1:25" ht="50" customHeight="1" x14ac:dyDescent="0.25">
      <c r="A333" s="5" t="s">
        <v>1615</v>
      </c>
      <c r="B333" s="5" t="s">
        <v>1616</v>
      </c>
      <c r="C333" s="5" t="s">
        <v>1617</v>
      </c>
      <c r="D333" s="5"/>
      <c r="E333" s="6" t="s">
        <v>1618</v>
      </c>
      <c r="F333" s="6" t="s">
        <v>1619</v>
      </c>
      <c r="G333" s="5" t="s">
        <v>1619</v>
      </c>
      <c r="H333" s="7">
        <v>11</v>
      </c>
      <c r="I333" s="7">
        <v>18.739999999999998</v>
      </c>
      <c r="J333" s="7" t="s">
        <v>58</v>
      </c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 t="s">
        <v>59</v>
      </c>
      <c r="V333" s="7" t="s">
        <v>60</v>
      </c>
      <c r="W333" s="7" t="s">
        <v>84</v>
      </c>
      <c r="X333" s="5" t="str">
        <f ca="1">IF(INDIRECT("W333")="Clássico","13%",IF(INDIRECT("W333")="Premium","17%","-"))</f>
        <v>17%</v>
      </c>
      <c r="Y333" s="7" t="s">
        <v>62</v>
      </c>
    </row>
    <row r="334" spans="1:25" ht="50" customHeight="1" x14ac:dyDescent="0.25">
      <c r="A334" s="5" t="s">
        <v>434</v>
      </c>
      <c r="B334" s="5" t="s">
        <v>1620</v>
      </c>
      <c r="C334" s="5" t="s">
        <v>436</v>
      </c>
      <c r="D334" s="5"/>
      <c r="E334" s="6" t="s">
        <v>437</v>
      </c>
      <c r="F334" s="6" t="s">
        <v>438</v>
      </c>
      <c r="G334" s="5" t="s">
        <v>438</v>
      </c>
      <c r="H334" s="7">
        <v>11</v>
      </c>
      <c r="I334" s="7">
        <v>17.489999999999998</v>
      </c>
      <c r="J334" s="7" t="s">
        <v>58</v>
      </c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 t="s">
        <v>59</v>
      </c>
      <c r="V334" s="7" t="s">
        <v>60</v>
      </c>
      <c r="W334" s="7" t="s">
        <v>84</v>
      </c>
      <c r="X334" s="5" t="str">
        <f ca="1">IF(INDIRECT("W334")="Clássico","13%",IF(INDIRECT("W334")="Premium","17%","-"))</f>
        <v>17%</v>
      </c>
      <c r="Y334" s="7" t="s">
        <v>62</v>
      </c>
    </row>
    <row r="335" spans="1:25" ht="50" customHeight="1" x14ac:dyDescent="0.25">
      <c r="A335" s="5" t="s">
        <v>826</v>
      </c>
      <c r="B335" s="5" t="s">
        <v>1621</v>
      </c>
      <c r="C335" s="5" t="s">
        <v>1622</v>
      </c>
      <c r="D335" s="5"/>
      <c r="E335" s="6" t="s">
        <v>829</v>
      </c>
      <c r="F335" s="6" t="s">
        <v>1623</v>
      </c>
      <c r="G335" s="5" t="s">
        <v>1623</v>
      </c>
      <c r="H335" s="7">
        <v>2</v>
      </c>
      <c r="I335" s="7">
        <v>39.49</v>
      </c>
      <c r="J335" s="7" t="s">
        <v>58</v>
      </c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 t="s">
        <v>59</v>
      </c>
      <c r="V335" s="7" t="s">
        <v>60</v>
      </c>
      <c r="W335" s="7" t="s">
        <v>61</v>
      </c>
      <c r="X335" s="5" t="str">
        <f ca="1">IF(INDIRECT("W335")="Clássico","13%",IF(INDIRECT("W335")="Premium","17%","-"))</f>
        <v>13%</v>
      </c>
      <c r="Y335" s="7" t="s">
        <v>62</v>
      </c>
    </row>
    <row r="336" spans="1:25" ht="50" customHeight="1" x14ac:dyDescent="0.25">
      <c r="A336" s="5" t="s">
        <v>500</v>
      </c>
      <c r="B336" s="5" t="s">
        <v>1624</v>
      </c>
      <c r="C336" s="5" t="s">
        <v>1625</v>
      </c>
      <c r="D336" s="5"/>
      <c r="E336" s="6" t="s">
        <v>503</v>
      </c>
      <c r="F336" s="6" t="s">
        <v>504</v>
      </c>
      <c r="G336" s="5" t="s">
        <v>504</v>
      </c>
      <c r="H336" s="7">
        <v>85</v>
      </c>
      <c r="I336" s="7">
        <v>21.24</v>
      </c>
      <c r="J336" s="7" t="s">
        <v>58</v>
      </c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 t="s">
        <v>59</v>
      </c>
      <c r="V336" s="7" t="s">
        <v>60</v>
      </c>
      <c r="W336" s="7" t="s">
        <v>61</v>
      </c>
      <c r="X336" s="5" t="str">
        <f ca="1">IF(INDIRECT("W336")="Clássico","13%",IF(INDIRECT("W336")="Premium","17%","-"))</f>
        <v>13%</v>
      </c>
      <c r="Y336" s="7" t="s">
        <v>62</v>
      </c>
    </row>
    <row r="337" spans="1:25" ht="50" customHeight="1" x14ac:dyDescent="0.25">
      <c r="A337" s="5" t="s">
        <v>1626</v>
      </c>
      <c r="B337" s="5" t="s">
        <v>1627</v>
      </c>
      <c r="C337" s="5" t="s">
        <v>1628</v>
      </c>
      <c r="D337" s="5"/>
      <c r="E337" s="6" t="s">
        <v>1629</v>
      </c>
      <c r="F337" s="6" t="s">
        <v>1630</v>
      </c>
      <c r="G337" s="5" t="s">
        <v>1630</v>
      </c>
      <c r="H337" s="7">
        <v>10</v>
      </c>
      <c r="I337" s="7">
        <v>21.24</v>
      </c>
      <c r="J337" s="7" t="s">
        <v>58</v>
      </c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 t="s">
        <v>59</v>
      </c>
      <c r="V337" s="7" t="s">
        <v>60</v>
      </c>
      <c r="W337" s="7" t="s">
        <v>61</v>
      </c>
      <c r="X337" s="5" t="str">
        <f ca="1">IF(INDIRECT("W337")="Clássico","13%",IF(INDIRECT("W337")="Premium","17%","-"))</f>
        <v>13%</v>
      </c>
      <c r="Y337" s="7" t="s">
        <v>62</v>
      </c>
    </row>
    <row r="338" spans="1:25" ht="50" customHeight="1" x14ac:dyDescent="0.25">
      <c r="A338" s="5" t="s">
        <v>1631</v>
      </c>
      <c r="B338" s="5" t="s">
        <v>1632</v>
      </c>
      <c r="C338" s="5" t="s">
        <v>1633</v>
      </c>
      <c r="D338" s="5"/>
      <c r="E338" s="6" t="s">
        <v>1634</v>
      </c>
      <c r="F338" s="6" t="s">
        <v>1635</v>
      </c>
      <c r="G338" s="5" t="s">
        <v>1635</v>
      </c>
      <c r="H338" s="7">
        <v>35</v>
      </c>
      <c r="I338" s="7">
        <v>24.99</v>
      </c>
      <c r="J338" s="7" t="s">
        <v>58</v>
      </c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 t="s">
        <v>59</v>
      </c>
      <c r="V338" s="7" t="s">
        <v>60</v>
      </c>
      <c r="W338" s="7" t="s">
        <v>84</v>
      </c>
      <c r="X338" s="5" t="str">
        <f ca="1">IF(INDIRECT("W338")="Clássico","13%",IF(INDIRECT("W338")="Premium","17%","-"))</f>
        <v>17%</v>
      </c>
      <c r="Y338" s="7" t="s">
        <v>62</v>
      </c>
    </row>
    <row r="339" spans="1:25" ht="50" customHeight="1" x14ac:dyDescent="0.25">
      <c r="A339" s="5" t="s">
        <v>1636</v>
      </c>
      <c r="B339" s="5" t="s">
        <v>1637</v>
      </c>
      <c r="C339" s="5" t="s">
        <v>1638</v>
      </c>
      <c r="D339" s="5"/>
      <c r="E339" s="6" t="s">
        <v>1639</v>
      </c>
      <c r="F339" s="6" t="s">
        <v>1640</v>
      </c>
      <c r="G339" s="5" t="s">
        <v>1640</v>
      </c>
      <c r="H339" s="7">
        <v>12</v>
      </c>
      <c r="I339" s="7">
        <v>17.489999999999998</v>
      </c>
      <c r="J339" s="7" t="s">
        <v>58</v>
      </c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 t="s">
        <v>59</v>
      </c>
      <c r="V339" s="7" t="s">
        <v>60</v>
      </c>
      <c r="W339" s="7" t="s">
        <v>84</v>
      </c>
      <c r="X339" s="5" t="str">
        <f ca="1">IF(INDIRECT("W339")="Clássico","13%",IF(INDIRECT("W339")="Premium","17%","-"))</f>
        <v>17%</v>
      </c>
      <c r="Y339" s="7" t="s">
        <v>62</v>
      </c>
    </row>
    <row r="340" spans="1:25" ht="50" customHeight="1" x14ac:dyDescent="0.25">
      <c r="A340" s="5" t="s">
        <v>1641</v>
      </c>
      <c r="B340" s="5" t="s">
        <v>1642</v>
      </c>
      <c r="C340" s="5" t="s">
        <v>1643</v>
      </c>
      <c r="D340" s="5"/>
      <c r="E340" s="6" t="s">
        <v>1644</v>
      </c>
      <c r="F340" s="6" t="s">
        <v>1645</v>
      </c>
      <c r="G340" s="5" t="s">
        <v>1646</v>
      </c>
      <c r="H340" s="7">
        <v>9</v>
      </c>
      <c r="I340" s="7">
        <v>26.9</v>
      </c>
      <c r="J340" s="7" t="s">
        <v>58</v>
      </c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 t="s">
        <v>59</v>
      </c>
      <c r="V340" s="7" t="s">
        <v>60</v>
      </c>
      <c r="W340" s="7" t="s">
        <v>84</v>
      </c>
      <c r="X340" s="5" t="str">
        <f ca="1">IF(INDIRECT("W340")="Clássico","13%",IF(INDIRECT("W340")="Premium","17%","-"))</f>
        <v>17%</v>
      </c>
      <c r="Y340" s="7" t="s">
        <v>62</v>
      </c>
    </row>
    <row r="341" spans="1:25" ht="50" customHeight="1" x14ac:dyDescent="0.25">
      <c r="A341" s="5" t="s">
        <v>208</v>
      </c>
      <c r="B341" s="5" t="s">
        <v>1647</v>
      </c>
      <c r="C341" s="5" t="s">
        <v>1648</v>
      </c>
      <c r="D341" s="5"/>
      <c r="E341" s="6" t="s">
        <v>211</v>
      </c>
      <c r="F341" s="6" t="s">
        <v>212</v>
      </c>
      <c r="G341" s="5" t="s">
        <v>212</v>
      </c>
      <c r="H341" s="7">
        <v>48</v>
      </c>
      <c r="I341" s="7">
        <v>18.739999999999998</v>
      </c>
      <c r="J341" s="7" t="s">
        <v>58</v>
      </c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 t="s">
        <v>59</v>
      </c>
      <c r="V341" s="7" t="s">
        <v>60</v>
      </c>
      <c r="W341" s="7" t="s">
        <v>61</v>
      </c>
      <c r="X341" s="5" t="str">
        <f ca="1">IF(INDIRECT("W341")="Clássico","13%",IF(INDIRECT("W341")="Premium","17%","-"))</f>
        <v>13%</v>
      </c>
      <c r="Y341" s="7" t="s">
        <v>62</v>
      </c>
    </row>
    <row r="342" spans="1:25" ht="50" customHeight="1" x14ac:dyDescent="0.25">
      <c r="A342" s="5" t="s">
        <v>73</v>
      </c>
      <c r="B342" s="5" t="s">
        <v>1649</v>
      </c>
      <c r="C342" s="5" t="s">
        <v>1650</v>
      </c>
      <c r="D342" s="5"/>
      <c r="E342" s="6" t="s">
        <v>76</v>
      </c>
      <c r="F342" s="6" t="s">
        <v>1651</v>
      </c>
      <c r="G342" s="5" t="s">
        <v>1651</v>
      </c>
      <c r="H342" s="7">
        <v>24</v>
      </c>
      <c r="I342" s="7">
        <v>18.739999999999998</v>
      </c>
      <c r="J342" s="7" t="s">
        <v>58</v>
      </c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 t="s">
        <v>59</v>
      </c>
      <c r="V342" s="7" t="s">
        <v>60</v>
      </c>
      <c r="W342" s="7" t="s">
        <v>61</v>
      </c>
      <c r="X342" s="5" t="str">
        <f ca="1">IF(INDIRECT("W342")="Clássico","13%",IF(INDIRECT("W342")="Premium","17%","-"))</f>
        <v>13%</v>
      </c>
      <c r="Y342" s="7" t="s">
        <v>62</v>
      </c>
    </row>
    <row r="343" spans="1:25" ht="50" customHeight="1" x14ac:dyDescent="0.25">
      <c r="A343" s="5" t="s">
        <v>1652</v>
      </c>
      <c r="B343" s="5" t="s">
        <v>1653</v>
      </c>
      <c r="C343" s="5" t="s">
        <v>1654</v>
      </c>
      <c r="D343" s="5"/>
      <c r="E343" s="6" t="s">
        <v>1655</v>
      </c>
      <c r="F343" s="6" t="s">
        <v>1656</v>
      </c>
      <c r="G343" s="5" t="s">
        <v>1656</v>
      </c>
      <c r="H343" s="7">
        <v>6</v>
      </c>
      <c r="I343" s="7">
        <v>49.99</v>
      </c>
      <c r="J343" s="7" t="s">
        <v>58</v>
      </c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 t="s">
        <v>59</v>
      </c>
      <c r="V343" s="7" t="s">
        <v>60</v>
      </c>
      <c r="W343" s="7" t="s">
        <v>84</v>
      </c>
      <c r="X343" s="5" t="str">
        <f ca="1">IF(INDIRECT("W343")="Clássico","13%",IF(INDIRECT("W343")="Premium","17%","-"))</f>
        <v>17%</v>
      </c>
      <c r="Y343" s="7" t="s">
        <v>62</v>
      </c>
    </row>
    <row r="344" spans="1:25" ht="50" customHeight="1" x14ac:dyDescent="0.25">
      <c r="A344" s="5" t="s">
        <v>1657</v>
      </c>
      <c r="B344" s="5" t="s">
        <v>1658</v>
      </c>
      <c r="C344" s="5" t="s">
        <v>1659</v>
      </c>
      <c r="D344" s="5"/>
      <c r="E344" s="6" t="s">
        <v>1660</v>
      </c>
      <c r="F344" s="6" t="s">
        <v>1661</v>
      </c>
      <c r="G344" s="5" t="s">
        <v>1661</v>
      </c>
      <c r="H344" s="7">
        <v>8</v>
      </c>
      <c r="I344" s="7">
        <v>18.739999999999998</v>
      </c>
      <c r="J344" s="7" t="s">
        <v>58</v>
      </c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 t="s">
        <v>59</v>
      </c>
      <c r="V344" s="7" t="s">
        <v>60</v>
      </c>
      <c r="W344" s="7" t="s">
        <v>61</v>
      </c>
      <c r="X344" s="5" t="str">
        <f ca="1">IF(INDIRECT("W344")="Clássico","13%",IF(INDIRECT("W344")="Premium","17%","-"))</f>
        <v>13%</v>
      </c>
      <c r="Y344" s="7" t="s">
        <v>62</v>
      </c>
    </row>
    <row r="345" spans="1:25" ht="50" customHeight="1" x14ac:dyDescent="0.25">
      <c r="A345" s="5" t="s">
        <v>1662</v>
      </c>
      <c r="B345" s="5" t="s">
        <v>1663</v>
      </c>
      <c r="C345" s="5" t="s">
        <v>1664</v>
      </c>
      <c r="D345" s="5"/>
      <c r="E345" s="6" t="s">
        <v>1665</v>
      </c>
      <c r="F345" s="6" t="s">
        <v>1666</v>
      </c>
      <c r="G345" s="5" t="s">
        <v>1666</v>
      </c>
      <c r="H345" s="7">
        <v>24</v>
      </c>
      <c r="I345" s="7">
        <v>19.989999999999998</v>
      </c>
      <c r="J345" s="7" t="s">
        <v>58</v>
      </c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 t="s">
        <v>59</v>
      </c>
      <c r="V345" s="7" t="s">
        <v>60</v>
      </c>
      <c r="W345" s="7" t="s">
        <v>84</v>
      </c>
      <c r="X345" s="5" t="str">
        <f ca="1">IF(INDIRECT("W345")="Clássico","13%",IF(INDIRECT("W345")="Premium","17%","-"))</f>
        <v>17%</v>
      </c>
      <c r="Y345" s="7" t="s">
        <v>62</v>
      </c>
    </row>
    <row r="346" spans="1:25" ht="50" customHeight="1" x14ac:dyDescent="0.25">
      <c r="A346" s="5" t="s">
        <v>1667</v>
      </c>
      <c r="B346" s="5" t="s">
        <v>1668</v>
      </c>
      <c r="C346" s="5" t="s">
        <v>1669</v>
      </c>
      <c r="D346" s="5"/>
      <c r="E346" s="6" t="s">
        <v>1670</v>
      </c>
      <c r="F346" s="6" t="s">
        <v>1671</v>
      </c>
      <c r="G346" s="5" t="s">
        <v>1671</v>
      </c>
      <c r="H346" s="7">
        <v>8</v>
      </c>
      <c r="I346" s="7">
        <v>30.49</v>
      </c>
      <c r="J346" s="7" t="s">
        <v>58</v>
      </c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 t="s">
        <v>59</v>
      </c>
      <c r="V346" s="7" t="s">
        <v>60</v>
      </c>
      <c r="W346" s="7" t="s">
        <v>61</v>
      </c>
      <c r="X346" s="5" t="str">
        <f ca="1">IF(INDIRECT("W346")="Clássico","13%",IF(INDIRECT("W346")="Premium","17%","-"))</f>
        <v>13%</v>
      </c>
      <c r="Y346" s="7" t="s">
        <v>62</v>
      </c>
    </row>
    <row r="347" spans="1:25" ht="50" customHeight="1" x14ac:dyDescent="0.25">
      <c r="A347" s="5" t="s">
        <v>1672</v>
      </c>
      <c r="B347" s="5" t="s">
        <v>1673</v>
      </c>
      <c r="C347" s="5" t="s">
        <v>1674</v>
      </c>
      <c r="D347" s="5"/>
      <c r="E347" s="6" t="s">
        <v>1675</v>
      </c>
      <c r="F347" s="6" t="s">
        <v>1676</v>
      </c>
      <c r="G347" s="5" t="s">
        <v>1677</v>
      </c>
      <c r="H347" s="7">
        <v>4</v>
      </c>
      <c r="I347" s="7">
        <v>36.9</v>
      </c>
      <c r="J347" s="7" t="s">
        <v>58</v>
      </c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 t="s">
        <v>59</v>
      </c>
      <c r="V347" s="5" t="s">
        <v>293</v>
      </c>
      <c r="W347" s="7" t="s">
        <v>84</v>
      </c>
      <c r="X347" s="5" t="str">
        <f ca="1">IF(INDIRECT("W347")="Clássico","13%",IF(INDIRECT("W347")="Premium","17%","-"))</f>
        <v>17%</v>
      </c>
      <c r="Y347" s="7" t="s">
        <v>62</v>
      </c>
    </row>
    <row r="348" spans="1:25" ht="50" customHeight="1" x14ac:dyDescent="0.25">
      <c r="A348" s="5" t="s">
        <v>883</v>
      </c>
      <c r="B348" s="5" t="s">
        <v>1678</v>
      </c>
      <c r="C348" s="5" t="s">
        <v>1679</v>
      </c>
      <c r="D348" s="5"/>
      <c r="E348" s="6" t="s">
        <v>886</v>
      </c>
      <c r="F348" s="6" t="s">
        <v>1680</v>
      </c>
      <c r="G348" s="5" t="s">
        <v>1680</v>
      </c>
      <c r="H348" s="7">
        <v>3</v>
      </c>
      <c r="I348" s="7">
        <v>34.49</v>
      </c>
      <c r="J348" s="7" t="s">
        <v>58</v>
      </c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 t="s">
        <v>59</v>
      </c>
      <c r="V348" s="7" t="s">
        <v>60</v>
      </c>
      <c r="W348" s="7" t="s">
        <v>61</v>
      </c>
      <c r="X348" s="5" t="str">
        <f ca="1">IF(INDIRECT("W348")="Clássico","13%",IF(INDIRECT("W348")="Premium","17%","-"))</f>
        <v>13%</v>
      </c>
      <c r="Y348" s="7" t="s">
        <v>62</v>
      </c>
    </row>
    <row r="349" spans="1:25" ht="50" customHeight="1" x14ac:dyDescent="0.25">
      <c r="A349" s="5" t="s">
        <v>1681</v>
      </c>
      <c r="B349" s="5" t="s">
        <v>1682</v>
      </c>
      <c r="C349" s="5" t="s">
        <v>1683</v>
      </c>
      <c r="D349" s="5"/>
      <c r="E349" s="6" t="s">
        <v>1684</v>
      </c>
      <c r="F349" s="6" t="s">
        <v>1685</v>
      </c>
      <c r="G349" s="5" t="s">
        <v>1685</v>
      </c>
      <c r="H349" s="7">
        <v>4</v>
      </c>
      <c r="I349" s="7">
        <v>33.49</v>
      </c>
      <c r="J349" s="7" t="s">
        <v>58</v>
      </c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 t="s">
        <v>59</v>
      </c>
      <c r="V349" s="7" t="s">
        <v>60</v>
      </c>
      <c r="W349" s="7" t="s">
        <v>61</v>
      </c>
      <c r="X349" s="5" t="str">
        <f ca="1">IF(INDIRECT("W349")="Clássico","13%",IF(INDIRECT("W349")="Premium","17%","-"))</f>
        <v>13%</v>
      </c>
      <c r="Y349" s="7" t="s">
        <v>62</v>
      </c>
    </row>
    <row r="350" spans="1:25" ht="50" customHeight="1" x14ac:dyDescent="0.25">
      <c r="A350" s="5" t="s">
        <v>1686</v>
      </c>
      <c r="B350" s="5" t="s">
        <v>1687</v>
      </c>
      <c r="C350" s="5" t="s">
        <v>1688</v>
      </c>
      <c r="D350" s="5"/>
      <c r="E350" s="6" t="s">
        <v>1689</v>
      </c>
      <c r="F350" s="6" t="s">
        <v>1690</v>
      </c>
      <c r="G350" s="5" t="s">
        <v>1690</v>
      </c>
      <c r="H350" s="7">
        <v>8</v>
      </c>
      <c r="I350" s="7">
        <v>21.24</v>
      </c>
      <c r="J350" s="7" t="s">
        <v>58</v>
      </c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 t="s">
        <v>59</v>
      </c>
      <c r="V350" s="7" t="s">
        <v>60</v>
      </c>
      <c r="W350" s="7" t="s">
        <v>84</v>
      </c>
      <c r="X350" s="5" t="str">
        <f ca="1">IF(INDIRECT("W350")="Clássico","13%",IF(INDIRECT("W350")="Premium","17%","-"))</f>
        <v>17%</v>
      </c>
      <c r="Y350" s="7" t="s">
        <v>62</v>
      </c>
    </row>
    <row r="351" spans="1:25" ht="50" customHeight="1" x14ac:dyDescent="0.25">
      <c r="A351" s="5" t="s">
        <v>1691</v>
      </c>
      <c r="B351" s="5" t="s">
        <v>1692</v>
      </c>
      <c r="C351" s="5" t="s">
        <v>1693</v>
      </c>
      <c r="D351" s="5"/>
      <c r="E351" s="6" t="s">
        <v>1694</v>
      </c>
      <c r="F351" s="6" t="s">
        <v>1695</v>
      </c>
      <c r="G351" s="5" t="s">
        <v>1695</v>
      </c>
      <c r="H351" s="7">
        <v>10</v>
      </c>
      <c r="I351" s="7">
        <v>35.9</v>
      </c>
      <c r="J351" s="7" t="s">
        <v>58</v>
      </c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 t="s">
        <v>59</v>
      </c>
      <c r="V351" s="7" t="s">
        <v>60</v>
      </c>
      <c r="W351" s="7" t="s">
        <v>61</v>
      </c>
      <c r="X351" s="5" t="str">
        <f ca="1">IF(INDIRECT("W351")="Clássico","13%",IF(INDIRECT("W351")="Premium","17%","-"))</f>
        <v>13%</v>
      </c>
      <c r="Y351" s="7" t="s">
        <v>62</v>
      </c>
    </row>
    <row r="352" spans="1:25" ht="50" customHeight="1" x14ac:dyDescent="0.25">
      <c r="A352" s="5" t="s">
        <v>1696</v>
      </c>
      <c r="B352" s="5" t="s">
        <v>1697</v>
      </c>
      <c r="C352" s="5" t="s">
        <v>1698</v>
      </c>
      <c r="D352" s="5"/>
      <c r="E352" s="6" t="s">
        <v>1699</v>
      </c>
      <c r="F352" s="6" t="s">
        <v>1700</v>
      </c>
      <c r="G352" s="5" t="s">
        <v>1700</v>
      </c>
      <c r="H352" s="7">
        <v>12</v>
      </c>
      <c r="I352" s="7">
        <v>19.989999999999998</v>
      </c>
      <c r="J352" s="7" t="s">
        <v>58</v>
      </c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 t="s">
        <v>59</v>
      </c>
      <c r="V352" s="7" t="s">
        <v>60</v>
      </c>
      <c r="W352" s="7" t="s">
        <v>84</v>
      </c>
      <c r="X352" s="5" t="str">
        <f ca="1">IF(INDIRECT("W352")="Clássico","13%",IF(INDIRECT("W352")="Premium","17%","-"))</f>
        <v>17%</v>
      </c>
      <c r="Y352" s="7" t="s">
        <v>62</v>
      </c>
    </row>
    <row r="353" spans="1:25" ht="50" customHeight="1" x14ac:dyDescent="0.25">
      <c r="A353" s="5" t="s">
        <v>1701</v>
      </c>
      <c r="B353" s="5" t="s">
        <v>1702</v>
      </c>
      <c r="C353" s="5" t="s">
        <v>1703</v>
      </c>
      <c r="D353" s="5"/>
      <c r="E353" s="6" t="s">
        <v>1704</v>
      </c>
      <c r="F353" s="6" t="s">
        <v>1705</v>
      </c>
      <c r="G353" s="5" t="s">
        <v>1705</v>
      </c>
      <c r="H353" s="7">
        <v>8</v>
      </c>
      <c r="I353" s="7">
        <v>19.68</v>
      </c>
      <c r="J353" s="7" t="s">
        <v>58</v>
      </c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 t="s">
        <v>59</v>
      </c>
      <c r="V353" s="7" t="s">
        <v>60</v>
      </c>
      <c r="W353" s="7" t="s">
        <v>61</v>
      </c>
      <c r="X353" s="5" t="str">
        <f ca="1">IF(INDIRECT("W353")="Clássico","13%",IF(INDIRECT("W353")="Premium","17%","-"))</f>
        <v>13%</v>
      </c>
      <c r="Y353" s="7" t="s">
        <v>62</v>
      </c>
    </row>
    <row r="354" spans="1:25" ht="50" customHeight="1" x14ac:dyDescent="0.25">
      <c r="A354" s="5" t="s">
        <v>1706</v>
      </c>
      <c r="B354" s="5" t="s">
        <v>1707</v>
      </c>
      <c r="C354" s="5" t="s">
        <v>1708</v>
      </c>
      <c r="D354" s="5"/>
      <c r="E354" s="6" t="s">
        <v>1709</v>
      </c>
      <c r="F354" s="6" t="s">
        <v>1710</v>
      </c>
      <c r="G354" s="5" t="s">
        <v>1710</v>
      </c>
      <c r="H354" s="7">
        <v>12</v>
      </c>
      <c r="I354" s="7">
        <v>49.99</v>
      </c>
      <c r="J354" s="7" t="s">
        <v>58</v>
      </c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 t="s">
        <v>59</v>
      </c>
      <c r="V354" s="7" t="s">
        <v>60</v>
      </c>
      <c r="W354" s="7" t="s">
        <v>61</v>
      </c>
      <c r="X354" s="5" t="str">
        <f ca="1">IF(INDIRECT("W354")="Clássico","13%",IF(INDIRECT("W354")="Premium","17%","-"))</f>
        <v>13%</v>
      </c>
      <c r="Y354" s="7" t="s">
        <v>62</v>
      </c>
    </row>
    <row r="355" spans="1:25" ht="50" customHeight="1" x14ac:dyDescent="0.25">
      <c r="A355" s="5" t="s">
        <v>1081</v>
      </c>
      <c r="B355" s="5" t="s">
        <v>1711</v>
      </c>
      <c r="C355" s="5" t="s">
        <v>1712</v>
      </c>
      <c r="D355" s="5"/>
      <c r="E355" s="6" t="s">
        <v>1084</v>
      </c>
      <c r="F355" s="6" t="s">
        <v>1713</v>
      </c>
      <c r="G355" s="5" t="s">
        <v>1713</v>
      </c>
      <c r="H355" s="7">
        <v>12</v>
      </c>
      <c r="I355" s="7">
        <v>34.380000000000003</v>
      </c>
      <c r="J355" s="7" t="s">
        <v>58</v>
      </c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 t="s">
        <v>59</v>
      </c>
      <c r="V355" s="7" t="s">
        <v>60</v>
      </c>
      <c r="W355" s="7" t="s">
        <v>84</v>
      </c>
      <c r="X355" s="5" t="str">
        <f ca="1">IF(INDIRECT("W355")="Clássico","13%",IF(INDIRECT("W355")="Premium","17%","-"))</f>
        <v>17%</v>
      </c>
      <c r="Y355" s="7" t="s">
        <v>62</v>
      </c>
    </row>
    <row r="356" spans="1:25" ht="50" customHeight="1" x14ac:dyDescent="0.25">
      <c r="A356" s="5" t="s">
        <v>1714</v>
      </c>
      <c r="B356" s="5" t="s">
        <v>1715</v>
      </c>
      <c r="C356" s="5" t="s">
        <v>1716</v>
      </c>
      <c r="D356" s="5"/>
      <c r="E356" s="6" t="s">
        <v>1717</v>
      </c>
      <c r="F356" s="6" t="s">
        <v>1718</v>
      </c>
      <c r="G356" s="5" t="s">
        <v>1719</v>
      </c>
      <c r="H356" s="7">
        <v>12</v>
      </c>
      <c r="I356" s="7">
        <v>24.13</v>
      </c>
      <c r="J356" s="7" t="s">
        <v>58</v>
      </c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 t="s">
        <v>59</v>
      </c>
      <c r="V356" s="7" t="s">
        <v>60</v>
      </c>
      <c r="W356" s="7" t="s">
        <v>61</v>
      </c>
      <c r="X356" s="5" t="str">
        <f ca="1">IF(INDIRECT("W356")="Clássico","13%",IF(INDIRECT("W356")="Premium","17%","-"))</f>
        <v>13%</v>
      </c>
      <c r="Y356" s="7" t="s">
        <v>62</v>
      </c>
    </row>
    <row r="357" spans="1:25" ht="50" customHeight="1" x14ac:dyDescent="0.25">
      <c r="A357" s="5" t="s">
        <v>1720</v>
      </c>
      <c r="B357" s="5" t="s">
        <v>1721</v>
      </c>
      <c r="C357" s="5" t="s">
        <v>1722</v>
      </c>
      <c r="D357" s="5"/>
      <c r="E357" s="6" t="s">
        <v>1723</v>
      </c>
      <c r="F357" s="6" t="s">
        <v>1724</v>
      </c>
      <c r="G357" s="5" t="s">
        <v>1724</v>
      </c>
      <c r="H357" s="7">
        <v>23</v>
      </c>
      <c r="I357" s="7">
        <v>22.25</v>
      </c>
      <c r="J357" s="7" t="s">
        <v>58</v>
      </c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 t="s">
        <v>59</v>
      </c>
      <c r="V357" s="7" t="s">
        <v>60</v>
      </c>
      <c r="W357" s="7" t="s">
        <v>84</v>
      </c>
      <c r="X357" s="5" t="str">
        <f ca="1">IF(INDIRECT("W357")="Clássico","13%",IF(INDIRECT("W357")="Premium","17%","-"))</f>
        <v>17%</v>
      </c>
      <c r="Y357" s="7" t="s">
        <v>62</v>
      </c>
    </row>
    <row r="358" spans="1:25" ht="50" customHeight="1" x14ac:dyDescent="0.25">
      <c r="A358" s="5" t="s">
        <v>96</v>
      </c>
      <c r="B358" s="5" t="s">
        <v>1725</v>
      </c>
      <c r="C358" s="5" t="s">
        <v>1726</v>
      </c>
      <c r="D358" s="5"/>
      <c r="E358" s="6" t="s">
        <v>99</v>
      </c>
      <c r="F358" s="6" t="s">
        <v>1727</v>
      </c>
      <c r="G358" s="5" t="s">
        <v>1727</v>
      </c>
      <c r="H358" s="7">
        <v>8</v>
      </c>
      <c r="I358" s="7">
        <v>58.74</v>
      </c>
      <c r="J358" s="7" t="s">
        <v>58</v>
      </c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 t="s">
        <v>59</v>
      </c>
      <c r="V358" s="7" t="s">
        <v>101</v>
      </c>
      <c r="W358" s="7" t="s">
        <v>84</v>
      </c>
      <c r="X358" s="5" t="str">
        <f ca="1">IF(INDIRECT("W358")="Clássico","13%",IF(INDIRECT("W358")="Premium","17%","-"))</f>
        <v>17%</v>
      </c>
      <c r="Y358" s="7" t="s">
        <v>62</v>
      </c>
    </row>
    <row r="359" spans="1:25" ht="50" customHeight="1" x14ac:dyDescent="0.25">
      <c r="A359" s="5" t="s">
        <v>1728</v>
      </c>
      <c r="B359" s="5" t="s">
        <v>1729</v>
      </c>
      <c r="C359" s="5" t="s">
        <v>1730</v>
      </c>
      <c r="D359" s="5"/>
      <c r="E359" s="6" t="s">
        <v>1731</v>
      </c>
      <c r="F359" s="6" t="s">
        <v>1732</v>
      </c>
      <c r="G359" s="5" t="s">
        <v>1732</v>
      </c>
      <c r="H359" s="7">
        <v>8</v>
      </c>
      <c r="I359" s="7">
        <v>58.74</v>
      </c>
      <c r="J359" s="7" t="s">
        <v>58</v>
      </c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 t="s">
        <v>59</v>
      </c>
      <c r="V359" s="7" t="s">
        <v>101</v>
      </c>
      <c r="W359" s="7" t="s">
        <v>61</v>
      </c>
      <c r="X359" s="5" t="str">
        <f ca="1">IF(INDIRECT("W359")="Clássico","13%",IF(INDIRECT("W359")="Premium","17%","-"))</f>
        <v>13%</v>
      </c>
      <c r="Y359" s="7" t="s">
        <v>62</v>
      </c>
    </row>
    <row r="360" spans="1:25" ht="50" customHeight="1" x14ac:dyDescent="0.25">
      <c r="A360" s="5" t="s">
        <v>730</v>
      </c>
      <c r="B360" s="5" t="s">
        <v>1733</v>
      </c>
      <c r="C360" s="5" t="s">
        <v>1734</v>
      </c>
      <c r="D360" s="5"/>
      <c r="E360" s="6" t="s">
        <v>733</v>
      </c>
      <c r="F360" s="6" t="s">
        <v>1735</v>
      </c>
      <c r="G360" s="5" t="s">
        <v>1735</v>
      </c>
      <c r="H360" s="7">
        <v>10</v>
      </c>
      <c r="I360" s="7">
        <v>61.25</v>
      </c>
      <c r="J360" s="7" t="s">
        <v>58</v>
      </c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 t="s">
        <v>59</v>
      </c>
      <c r="V360" s="7" t="s">
        <v>101</v>
      </c>
      <c r="W360" s="7" t="s">
        <v>61</v>
      </c>
      <c r="X360" s="5" t="str">
        <f ca="1">IF(INDIRECT("W360")="Clássico","13%",IF(INDIRECT("W360")="Premium","17%","-"))</f>
        <v>13%</v>
      </c>
      <c r="Y360" s="7" t="s">
        <v>62</v>
      </c>
    </row>
    <row r="361" spans="1:25" ht="50" customHeight="1" x14ac:dyDescent="0.25">
      <c r="A361" s="5" t="s">
        <v>1736</v>
      </c>
      <c r="B361" s="5" t="s">
        <v>1737</v>
      </c>
      <c r="C361" s="5" t="s">
        <v>1738</v>
      </c>
      <c r="D361" s="5"/>
      <c r="E361" s="6" t="s">
        <v>164</v>
      </c>
      <c r="F361" s="6" t="s">
        <v>165</v>
      </c>
      <c r="G361" s="5" t="s">
        <v>1739</v>
      </c>
      <c r="H361" s="7">
        <v>14</v>
      </c>
      <c r="I361" s="7">
        <v>13.74</v>
      </c>
      <c r="J361" s="7" t="s">
        <v>58</v>
      </c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 t="s">
        <v>59</v>
      </c>
      <c r="V361" s="7" t="s">
        <v>60</v>
      </c>
      <c r="W361" s="7" t="s">
        <v>61</v>
      </c>
      <c r="X361" s="5" t="str">
        <f ca="1">IF(INDIRECT("W361")="Clássico","13%",IF(INDIRECT("W361")="Premium","17%","-"))</f>
        <v>13%</v>
      </c>
      <c r="Y361" s="7" t="s">
        <v>62</v>
      </c>
    </row>
    <row r="362" spans="1:25" ht="50" customHeight="1" x14ac:dyDescent="0.25">
      <c r="A362" s="5" t="s">
        <v>1740</v>
      </c>
      <c r="B362" s="5" t="s">
        <v>1741</v>
      </c>
      <c r="C362" s="5" t="s">
        <v>1742</v>
      </c>
      <c r="D362" s="5"/>
      <c r="E362" s="6" t="s">
        <v>1743</v>
      </c>
      <c r="F362" s="6" t="s">
        <v>1744</v>
      </c>
      <c r="G362" s="5" t="s">
        <v>1744</v>
      </c>
      <c r="H362" s="7">
        <v>10</v>
      </c>
      <c r="I362" s="7">
        <v>61.25</v>
      </c>
      <c r="J362" s="7" t="s">
        <v>58</v>
      </c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 t="s">
        <v>59</v>
      </c>
      <c r="V362" s="7" t="s">
        <v>101</v>
      </c>
      <c r="W362" s="7" t="s">
        <v>61</v>
      </c>
      <c r="X362" s="5" t="str">
        <f ca="1">IF(INDIRECT("W362")="Clássico","13%",IF(INDIRECT("W362")="Premium","17%","-"))</f>
        <v>13%</v>
      </c>
      <c r="Y362" s="7" t="s">
        <v>62</v>
      </c>
    </row>
    <row r="363" spans="1:25" ht="50" customHeight="1" x14ac:dyDescent="0.25">
      <c r="A363" s="5" t="s">
        <v>1745</v>
      </c>
      <c r="B363" s="5" t="s">
        <v>1746</v>
      </c>
      <c r="C363" s="5" t="s">
        <v>1747</v>
      </c>
      <c r="D363" s="5"/>
      <c r="E363" s="6" t="s">
        <v>1748</v>
      </c>
      <c r="F363" s="6" t="s">
        <v>1749</v>
      </c>
      <c r="G363" s="5" t="s">
        <v>1749</v>
      </c>
      <c r="H363" s="7">
        <v>69</v>
      </c>
      <c r="I363" s="7">
        <v>13.75</v>
      </c>
      <c r="J363" s="7" t="s">
        <v>58</v>
      </c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 t="s">
        <v>59</v>
      </c>
      <c r="V363" s="7" t="s">
        <v>60</v>
      </c>
      <c r="W363" s="7" t="s">
        <v>84</v>
      </c>
      <c r="X363" s="5" t="str">
        <f ca="1">IF(INDIRECT("W363")="Clássico","13%",IF(INDIRECT("W363")="Premium","17%","-"))</f>
        <v>17%</v>
      </c>
      <c r="Y363" s="7" t="s">
        <v>62</v>
      </c>
    </row>
    <row r="364" spans="1:25" ht="50" customHeight="1" x14ac:dyDescent="0.25">
      <c r="A364" s="5" t="s">
        <v>1750</v>
      </c>
      <c r="B364" s="5" t="s">
        <v>1751</v>
      </c>
      <c r="C364" s="5" t="s">
        <v>1752</v>
      </c>
      <c r="D364" s="5"/>
      <c r="E364" s="6" t="s">
        <v>1753</v>
      </c>
      <c r="F364" s="6" t="s">
        <v>1754</v>
      </c>
      <c r="G364" s="5" t="s">
        <v>1754</v>
      </c>
      <c r="H364" s="7">
        <v>10</v>
      </c>
      <c r="I364" s="7">
        <v>12.31</v>
      </c>
      <c r="J364" s="7" t="s">
        <v>58</v>
      </c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 t="s">
        <v>59</v>
      </c>
      <c r="V364" s="7" t="s">
        <v>60</v>
      </c>
      <c r="W364" s="7" t="s">
        <v>61</v>
      </c>
      <c r="X364" s="5" t="str">
        <f ca="1">IF(INDIRECT("W364")="Clássico","13%",IF(INDIRECT("W364")="Premium","17%","-"))</f>
        <v>13%</v>
      </c>
      <c r="Y364" s="7" t="s">
        <v>62</v>
      </c>
    </row>
    <row r="365" spans="1:25" ht="50" customHeight="1" x14ac:dyDescent="0.25">
      <c r="A365" s="5" t="s">
        <v>1755</v>
      </c>
      <c r="B365" s="5" t="s">
        <v>1756</v>
      </c>
      <c r="C365" s="5" t="s">
        <v>1757</v>
      </c>
      <c r="D365" s="5"/>
      <c r="E365" s="6" t="s">
        <v>1758</v>
      </c>
      <c r="F365" s="6" t="s">
        <v>1759</v>
      </c>
      <c r="G365" s="5" t="s">
        <v>1759</v>
      </c>
      <c r="H365" s="7">
        <v>18</v>
      </c>
      <c r="I365" s="7">
        <v>16.239999999999998</v>
      </c>
      <c r="J365" s="7" t="s">
        <v>58</v>
      </c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 t="s">
        <v>59</v>
      </c>
      <c r="V365" s="7" t="s">
        <v>101</v>
      </c>
      <c r="W365" s="7" t="s">
        <v>61</v>
      </c>
      <c r="X365" s="5" t="str">
        <f ca="1">IF(INDIRECT("W365")="Clássico","13%",IF(INDIRECT("W365")="Premium","17%","-"))</f>
        <v>13%</v>
      </c>
      <c r="Y365" s="7" t="s">
        <v>62</v>
      </c>
    </row>
    <row r="366" spans="1:25" ht="50" customHeight="1" x14ac:dyDescent="0.25">
      <c r="A366" s="5" t="s">
        <v>538</v>
      </c>
      <c r="B366" s="5" t="s">
        <v>1760</v>
      </c>
      <c r="C366" s="5" t="s">
        <v>540</v>
      </c>
      <c r="D366" s="5"/>
      <c r="E366" s="6" t="s">
        <v>541</v>
      </c>
      <c r="F366" s="5" t="s">
        <v>1346</v>
      </c>
      <c r="G366" s="5" t="s">
        <v>78</v>
      </c>
      <c r="H366" s="7">
        <v>2</v>
      </c>
      <c r="I366" s="7">
        <v>33.49</v>
      </c>
      <c r="J366" s="7" t="s">
        <v>58</v>
      </c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5" t="s">
        <v>59</v>
      </c>
      <c r="V366" s="7" t="s">
        <v>60</v>
      </c>
      <c r="W366" s="7" t="s">
        <v>61</v>
      </c>
      <c r="X366" s="5" t="str">
        <f ca="1">IF(INDIRECT("W366")="Clássico","13%",IF(INDIRECT("W366")="Premium","17%","-"))</f>
        <v>13%</v>
      </c>
      <c r="Y366" s="7" t="s">
        <v>62</v>
      </c>
    </row>
    <row r="367" spans="1:25" ht="50" customHeight="1" x14ac:dyDescent="0.25">
      <c r="A367" s="5" t="s">
        <v>806</v>
      </c>
      <c r="B367" s="5" t="s">
        <v>1761</v>
      </c>
      <c r="C367" s="5" t="s">
        <v>808</v>
      </c>
      <c r="D367" s="5"/>
      <c r="E367" s="6" t="s">
        <v>809</v>
      </c>
      <c r="F367" s="5" t="s">
        <v>1762</v>
      </c>
      <c r="G367" s="5" t="s">
        <v>78</v>
      </c>
      <c r="H367" s="7">
        <v>12</v>
      </c>
      <c r="I367" s="7">
        <v>26.49</v>
      </c>
      <c r="J367" s="7" t="s">
        <v>58</v>
      </c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5" t="s">
        <v>59</v>
      </c>
      <c r="V367" s="7" t="s">
        <v>101</v>
      </c>
      <c r="W367" s="7" t="s">
        <v>61</v>
      </c>
      <c r="X367" s="5" t="str">
        <f ca="1">IF(INDIRECT("W367")="Clássico","13%",IF(INDIRECT("W367")="Premium","17%","-"))</f>
        <v>13%</v>
      </c>
      <c r="Y367" s="7" t="s">
        <v>62</v>
      </c>
    </row>
    <row r="368" spans="1:25" ht="50" customHeight="1" x14ac:dyDescent="0.25">
      <c r="A368" s="5" t="s">
        <v>182</v>
      </c>
      <c r="B368" s="5" t="s">
        <v>1763</v>
      </c>
      <c r="C368" s="5" t="s">
        <v>184</v>
      </c>
      <c r="D368" s="5"/>
      <c r="E368" s="6" t="s">
        <v>185</v>
      </c>
      <c r="F368" s="5" t="s">
        <v>1764</v>
      </c>
      <c r="G368" s="5" t="s">
        <v>78</v>
      </c>
      <c r="H368" s="7">
        <v>14</v>
      </c>
      <c r="I368" s="7">
        <v>25.49</v>
      </c>
      <c r="J368" s="7" t="s">
        <v>58</v>
      </c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5" t="s">
        <v>59</v>
      </c>
      <c r="V368" s="7" t="s">
        <v>60</v>
      </c>
      <c r="W368" s="7" t="s">
        <v>84</v>
      </c>
      <c r="X368" s="5" t="str">
        <f ca="1">IF(INDIRECT("W368")="Clássico","13%",IF(INDIRECT("W368")="Premium","17%","-"))</f>
        <v>17%</v>
      </c>
      <c r="Y368" s="7" t="s">
        <v>62</v>
      </c>
    </row>
    <row r="369" spans="1:25" ht="50" customHeight="1" x14ac:dyDescent="0.25">
      <c r="A369" s="5" t="s">
        <v>484</v>
      </c>
      <c r="B369" s="5" t="s">
        <v>1765</v>
      </c>
      <c r="C369" s="5" t="s">
        <v>486</v>
      </c>
      <c r="D369" s="5"/>
      <c r="E369" s="6" t="s">
        <v>487</v>
      </c>
      <c r="F369" s="5" t="s">
        <v>1766</v>
      </c>
      <c r="G369" s="5" t="s">
        <v>78</v>
      </c>
      <c r="H369" s="7">
        <v>12</v>
      </c>
      <c r="I369" s="7">
        <v>30.49</v>
      </c>
      <c r="J369" s="7" t="s">
        <v>58</v>
      </c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5" t="s">
        <v>59</v>
      </c>
      <c r="V369" s="7" t="s">
        <v>489</v>
      </c>
      <c r="W369" s="7" t="s">
        <v>84</v>
      </c>
      <c r="X369" s="5" t="str">
        <f ca="1">IF(INDIRECT("W369")="Clássico","13%",IF(INDIRECT("W369")="Premium","17%","-"))</f>
        <v>17%</v>
      </c>
      <c r="Y369" s="7" t="s">
        <v>62</v>
      </c>
    </row>
    <row r="370" spans="1:25" ht="50" customHeight="1" x14ac:dyDescent="0.25">
      <c r="A370" s="5" t="s">
        <v>680</v>
      </c>
      <c r="B370" s="5" t="s">
        <v>1767</v>
      </c>
      <c r="C370" s="5" t="s">
        <v>1434</v>
      </c>
      <c r="D370" s="5"/>
      <c r="E370" s="6" t="s">
        <v>683</v>
      </c>
      <c r="F370" s="5" t="s">
        <v>1768</v>
      </c>
      <c r="G370" s="5" t="s">
        <v>78</v>
      </c>
      <c r="H370" s="7">
        <v>12</v>
      </c>
      <c r="I370" s="7">
        <v>26.49</v>
      </c>
      <c r="J370" s="7" t="s">
        <v>58</v>
      </c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5" t="s">
        <v>59</v>
      </c>
      <c r="V370" s="7" t="s">
        <v>101</v>
      </c>
      <c r="W370" s="7" t="s">
        <v>84</v>
      </c>
      <c r="X370" s="5" t="str">
        <f ca="1">IF(INDIRECT("W370")="Clássico","13%",IF(INDIRECT("W370")="Premium","17%","-"))</f>
        <v>17%</v>
      </c>
      <c r="Y370" s="7" t="s">
        <v>62</v>
      </c>
    </row>
    <row r="371" spans="1:25" ht="50" customHeight="1" x14ac:dyDescent="0.25">
      <c r="A371" s="5" t="s">
        <v>1521</v>
      </c>
      <c r="B371" s="5" t="s">
        <v>1769</v>
      </c>
      <c r="C371" s="5" t="s">
        <v>1523</v>
      </c>
      <c r="D371" s="5"/>
      <c r="E371" s="6" t="s">
        <v>1524</v>
      </c>
      <c r="F371" s="5" t="s">
        <v>1770</v>
      </c>
      <c r="G371" s="5" t="s">
        <v>78</v>
      </c>
      <c r="H371" s="7">
        <v>36</v>
      </c>
      <c r="I371" s="7">
        <v>21.59</v>
      </c>
      <c r="J371" s="7" t="s">
        <v>58</v>
      </c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5" t="s">
        <v>59</v>
      </c>
      <c r="V371" s="7" t="s">
        <v>1526</v>
      </c>
      <c r="W371" s="7" t="s">
        <v>84</v>
      </c>
      <c r="X371" s="5" t="str">
        <f ca="1">IF(INDIRECT("W371")="Clássico","13%",IF(INDIRECT("W371")="Premium","17%","-"))</f>
        <v>17%</v>
      </c>
      <c r="Y371" s="7" t="s">
        <v>62</v>
      </c>
    </row>
    <row r="372" spans="1:25" ht="50" customHeight="1" x14ac:dyDescent="0.25">
      <c r="A372" s="5" t="s">
        <v>1272</v>
      </c>
      <c r="B372" s="5" t="s">
        <v>1771</v>
      </c>
      <c r="C372" s="5" t="s">
        <v>1274</v>
      </c>
      <c r="D372" s="5"/>
      <c r="E372" s="6" t="s">
        <v>1275</v>
      </c>
      <c r="F372" s="5" t="s">
        <v>1772</v>
      </c>
      <c r="G372" s="5" t="s">
        <v>78</v>
      </c>
      <c r="H372" s="7">
        <v>4</v>
      </c>
      <c r="I372" s="7">
        <v>33.49</v>
      </c>
      <c r="J372" s="7" t="s">
        <v>58</v>
      </c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5" t="s">
        <v>59</v>
      </c>
      <c r="V372" s="7" t="s">
        <v>60</v>
      </c>
      <c r="W372" s="7" t="s">
        <v>61</v>
      </c>
      <c r="X372" s="5" t="str">
        <f ca="1">IF(INDIRECT("W372")="Clássico","13%",IF(INDIRECT("W372")="Premium","17%","-"))</f>
        <v>13%</v>
      </c>
      <c r="Y372" s="7" t="s">
        <v>62</v>
      </c>
    </row>
    <row r="373" spans="1:25" ht="50" customHeight="1" x14ac:dyDescent="0.25">
      <c r="A373" s="5" t="s">
        <v>1773</v>
      </c>
      <c r="B373" s="5" t="s">
        <v>1774</v>
      </c>
      <c r="C373" s="5" t="s">
        <v>1775</v>
      </c>
      <c r="D373" s="5"/>
      <c r="E373" s="6" t="s">
        <v>1776</v>
      </c>
      <c r="F373" s="5" t="s">
        <v>1777</v>
      </c>
      <c r="G373" s="5" t="s">
        <v>78</v>
      </c>
      <c r="H373" s="7">
        <v>10</v>
      </c>
      <c r="I373" s="7">
        <v>22.49</v>
      </c>
      <c r="J373" s="7" t="s">
        <v>58</v>
      </c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5" t="s">
        <v>59</v>
      </c>
      <c r="V373" s="7" t="s">
        <v>101</v>
      </c>
      <c r="W373" s="7" t="s">
        <v>61</v>
      </c>
      <c r="X373" s="5" t="str">
        <f ca="1">IF(INDIRECT("W373")="Clássico","13%",IF(INDIRECT("W373")="Premium","17%","-"))</f>
        <v>13%</v>
      </c>
      <c r="Y373" s="7" t="s">
        <v>62</v>
      </c>
    </row>
    <row r="374" spans="1:25" ht="50" customHeight="1" x14ac:dyDescent="0.25">
      <c r="A374" s="5" t="s">
        <v>1691</v>
      </c>
      <c r="B374" s="5" t="s">
        <v>1778</v>
      </c>
      <c r="C374" s="5" t="s">
        <v>1693</v>
      </c>
      <c r="D374" s="5"/>
      <c r="E374" s="6" t="s">
        <v>1694</v>
      </c>
      <c r="F374" s="5" t="s">
        <v>1779</v>
      </c>
      <c r="G374" s="5" t="s">
        <v>78</v>
      </c>
      <c r="H374" s="7">
        <v>10</v>
      </c>
      <c r="I374" s="7">
        <v>35.9</v>
      </c>
      <c r="J374" s="7" t="s">
        <v>58</v>
      </c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5" t="s">
        <v>59</v>
      </c>
      <c r="V374" s="7" t="s">
        <v>60</v>
      </c>
      <c r="W374" s="7" t="s">
        <v>61</v>
      </c>
      <c r="X374" s="5" t="str">
        <f ca="1">IF(INDIRECT("W374")="Clássico","13%",IF(INDIRECT("W374")="Premium","17%","-"))</f>
        <v>13%</v>
      </c>
      <c r="Y374" s="7" t="s">
        <v>62</v>
      </c>
    </row>
    <row r="375" spans="1:25" ht="50" customHeight="1" x14ac:dyDescent="0.25">
      <c r="A375" s="5" t="s">
        <v>1780</v>
      </c>
      <c r="B375" s="5" t="s">
        <v>1781</v>
      </c>
      <c r="C375" s="5" t="s">
        <v>1782</v>
      </c>
      <c r="D375" s="5"/>
      <c r="E375" s="6" t="s">
        <v>472</v>
      </c>
      <c r="F375" s="5" t="s">
        <v>1783</v>
      </c>
      <c r="G375" s="5" t="s">
        <v>78</v>
      </c>
      <c r="H375" s="7">
        <v>22</v>
      </c>
      <c r="I375" s="7">
        <v>23.61</v>
      </c>
      <c r="J375" s="7" t="s">
        <v>58</v>
      </c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5" t="s">
        <v>59</v>
      </c>
      <c r="V375" s="7" t="s">
        <v>60</v>
      </c>
      <c r="W375" s="7" t="s">
        <v>84</v>
      </c>
      <c r="X375" s="5" t="str">
        <f ca="1">IF(INDIRECT("W375")="Clássico","13%",IF(INDIRECT("W375")="Premium","17%","-"))</f>
        <v>17%</v>
      </c>
      <c r="Y375" s="7" t="s">
        <v>62</v>
      </c>
    </row>
    <row r="376" spans="1:25" ht="50" customHeight="1" x14ac:dyDescent="0.25">
      <c r="A376" s="5" t="s">
        <v>1071</v>
      </c>
      <c r="B376" s="5" t="s">
        <v>1784</v>
      </c>
      <c r="C376" s="5" t="s">
        <v>1073</v>
      </c>
      <c r="D376" s="5"/>
      <c r="E376" s="6" t="s">
        <v>1074</v>
      </c>
      <c r="F376" s="5" t="s">
        <v>1785</v>
      </c>
      <c r="G376" s="5" t="s">
        <v>78</v>
      </c>
      <c r="H376" s="7">
        <v>60</v>
      </c>
      <c r="I376" s="7">
        <v>18.489999999999998</v>
      </c>
      <c r="J376" s="7" t="s">
        <v>58</v>
      </c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5" t="s">
        <v>59</v>
      </c>
      <c r="V376" s="7" t="s">
        <v>60</v>
      </c>
      <c r="W376" s="7" t="s">
        <v>61</v>
      </c>
      <c r="X376" s="5" t="str">
        <f ca="1">IF(INDIRECT("W376")="Clássico","13%",IF(INDIRECT("W376")="Premium","17%","-"))</f>
        <v>13%</v>
      </c>
      <c r="Y376" s="7" t="s">
        <v>62</v>
      </c>
    </row>
    <row r="377" spans="1:25" ht="50" customHeight="1" x14ac:dyDescent="0.25">
      <c r="A377" s="5" t="s">
        <v>1615</v>
      </c>
      <c r="B377" s="5" t="s">
        <v>1786</v>
      </c>
      <c r="C377" s="5" t="s">
        <v>1787</v>
      </c>
      <c r="D377" s="5"/>
      <c r="E377" s="6" t="s">
        <v>1618</v>
      </c>
      <c r="F377" s="5" t="s">
        <v>1788</v>
      </c>
      <c r="G377" s="5" t="s">
        <v>78</v>
      </c>
      <c r="H377" s="7">
        <v>15</v>
      </c>
      <c r="I377" s="7">
        <v>22.49</v>
      </c>
      <c r="J377" s="7" t="s">
        <v>58</v>
      </c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5" t="s">
        <v>59</v>
      </c>
      <c r="V377" s="7" t="s">
        <v>60</v>
      </c>
      <c r="W377" s="7" t="s">
        <v>61</v>
      </c>
      <c r="X377" s="5" t="str">
        <f ca="1">IF(INDIRECT("W377")="Clássico","13%",IF(INDIRECT("W377")="Premium","17%","-"))</f>
        <v>13%</v>
      </c>
      <c r="Y377" s="7" t="s">
        <v>62</v>
      </c>
    </row>
    <row r="378" spans="1:25" ht="50" customHeight="1" x14ac:dyDescent="0.25">
      <c r="A378" s="5" t="s">
        <v>96</v>
      </c>
      <c r="B378" s="5" t="s">
        <v>1789</v>
      </c>
      <c r="C378" s="5" t="s">
        <v>1726</v>
      </c>
      <c r="D378" s="5"/>
      <c r="E378" s="6" t="s">
        <v>99</v>
      </c>
      <c r="F378" s="5" t="s">
        <v>100</v>
      </c>
      <c r="G378" s="5" t="s">
        <v>78</v>
      </c>
      <c r="H378" s="7">
        <v>8</v>
      </c>
      <c r="I378" s="7">
        <v>58.74</v>
      </c>
      <c r="J378" s="7" t="s">
        <v>58</v>
      </c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5" t="s">
        <v>59</v>
      </c>
      <c r="V378" s="7" t="s">
        <v>101</v>
      </c>
      <c r="W378" s="7" t="s">
        <v>84</v>
      </c>
      <c r="X378" s="5" t="str">
        <f ca="1">IF(INDIRECT("W378")="Clássico","13%",IF(INDIRECT("W378")="Premium","17%","-"))</f>
        <v>17%</v>
      </c>
      <c r="Y378" s="7" t="s">
        <v>62</v>
      </c>
    </row>
    <row r="379" spans="1:25" ht="50" customHeight="1" x14ac:dyDescent="0.25">
      <c r="A379" s="5" t="s">
        <v>1790</v>
      </c>
      <c r="B379" s="5" t="s">
        <v>1791</v>
      </c>
      <c r="C379" s="5" t="s">
        <v>1792</v>
      </c>
      <c r="D379" s="5"/>
      <c r="E379" s="6" t="s">
        <v>1793</v>
      </c>
      <c r="F379" s="5" t="s">
        <v>1794</v>
      </c>
      <c r="G379" s="5" t="s">
        <v>78</v>
      </c>
      <c r="H379" s="7">
        <v>9</v>
      </c>
      <c r="I379" s="7">
        <v>24.49</v>
      </c>
      <c r="J379" s="7" t="s">
        <v>58</v>
      </c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5" t="s">
        <v>59</v>
      </c>
      <c r="V379" s="7" t="s">
        <v>60</v>
      </c>
      <c r="W379" s="7" t="s">
        <v>61</v>
      </c>
      <c r="X379" s="5" t="str">
        <f ca="1">IF(INDIRECT("W379")="Clássico","13%",IF(INDIRECT("W379")="Premium","17%","-"))</f>
        <v>13%</v>
      </c>
      <c r="Y379" s="7" t="s">
        <v>62</v>
      </c>
    </row>
    <row r="380" spans="1:25" ht="50" customHeight="1" x14ac:dyDescent="0.25">
      <c r="A380" s="5" t="s">
        <v>1795</v>
      </c>
      <c r="B380" s="5" t="s">
        <v>1796</v>
      </c>
      <c r="C380" s="5" t="s">
        <v>1797</v>
      </c>
      <c r="D380" s="5"/>
      <c r="E380" s="6" t="s">
        <v>1798</v>
      </c>
      <c r="F380" s="5" t="s">
        <v>1799</v>
      </c>
      <c r="G380" s="5" t="s">
        <v>78</v>
      </c>
      <c r="H380" s="7">
        <v>2</v>
      </c>
      <c r="I380" s="7">
        <v>26.49</v>
      </c>
      <c r="J380" s="7" t="s">
        <v>58</v>
      </c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5" t="s">
        <v>59</v>
      </c>
      <c r="V380" s="7" t="s">
        <v>60</v>
      </c>
      <c r="W380" s="7" t="s">
        <v>61</v>
      </c>
      <c r="X380" s="5" t="str">
        <f ca="1">IF(INDIRECT("W380")="Clássico","13%",IF(INDIRECT("W380")="Premium","17%","-"))</f>
        <v>13%</v>
      </c>
      <c r="Y380" s="7" t="s">
        <v>62</v>
      </c>
    </row>
    <row r="381" spans="1:25" ht="50" customHeight="1" x14ac:dyDescent="0.25">
      <c r="A381" s="5" t="s">
        <v>1800</v>
      </c>
      <c r="B381" s="5" t="s">
        <v>1801</v>
      </c>
      <c r="C381" s="5" t="s">
        <v>1802</v>
      </c>
      <c r="D381" s="5"/>
      <c r="E381" s="6" t="s">
        <v>1803</v>
      </c>
      <c r="F381" s="5" t="s">
        <v>1804</v>
      </c>
      <c r="G381" s="5" t="s">
        <v>78</v>
      </c>
      <c r="H381" s="7">
        <v>6</v>
      </c>
      <c r="I381" s="7">
        <v>33.49</v>
      </c>
      <c r="J381" s="7" t="s">
        <v>58</v>
      </c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5" t="s">
        <v>59</v>
      </c>
      <c r="V381" s="7" t="s">
        <v>60</v>
      </c>
      <c r="W381" s="7" t="s">
        <v>61</v>
      </c>
      <c r="X381" s="5" t="str">
        <f ca="1">IF(INDIRECT("W381")="Clássico","13%",IF(INDIRECT("W381")="Premium","17%","-"))</f>
        <v>13%</v>
      </c>
      <c r="Y381" s="7" t="s">
        <v>62</v>
      </c>
    </row>
    <row r="382" spans="1:25" ht="50" customHeight="1" x14ac:dyDescent="0.25">
      <c r="A382" s="5" t="s">
        <v>1805</v>
      </c>
      <c r="B382" s="5" t="s">
        <v>1806</v>
      </c>
      <c r="C382" s="5" t="s">
        <v>1807</v>
      </c>
      <c r="D382" s="5"/>
      <c r="E382" s="6" t="s">
        <v>1808</v>
      </c>
      <c r="F382" s="6" t="s">
        <v>1809</v>
      </c>
      <c r="G382" s="5" t="s">
        <v>1809</v>
      </c>
      <c r="H382" s="7">
        <v>30</v>
      </c>
      <c r="I382" s="7">
        <v>35.49</v>
      </c>
      <c r="J382" s="7" t="s">
        <v>58</v>
      </c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 t="s">
        <v>59</v>
      </c>
      <c r="V382" s="7" t="s">
        <v>60</v>
      </c>
      <c r="W382" s="7" t="s">
        <v>61</v>
      </c>
      <c r="X382" s="5" t="str">
        <f ca="1">IF(INDIRECT("W382")="Clássico","13%",IF(INDIRECT("W382")="Premium","17%","-"))</f>
        <v>13%</v>
      </c>
      <c r="Y382" s="7" t="s">
        <v>62</v>
      </c>
    </row>
    <row r="383" spans="1:25" ht="50" customHeight="1" x14ac:dyDescent="0.25">
      <c r="A383" s="5" t="s">
        <v>1810</v>
      </c>
      <c r="B383" s="5" t="s">
        <v>1811</v>
      </c>
      <c r="C383" s="5" t="s">
        <v>1812</v>
      </c>
      <c r="D383" s="5"/>
      <c r="E383" s="6" t="s">
        <v>1813</v>
      </c>
      <c r="F383" s="6" t="s">
        <v>1814</v>
      </c>
      <c r="G383" s="5" t="s">
        <v>1814</v>
      </c>
      <c r="H383" s="7">
        <v>5</v>
      </c>
      <c r="I383" s="7">
        <v>41.49</v>
      </c>
      <c r="J383" s="7" t="s">
        <v>58</v>
      </c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 t="s">
        <v>59</v>
      </c>
      <c r="V383" s="7" t="s">
        <v>60</v>
      </c>
      <c r="W383" s="7" t="s">
        <v>61</v>
      </c>
      <c r="X383" s="5" t="str">
        <f ca="1">IF(INDIRECT("W383")="Clássico","13%",IF(INDIRECT("W383")="Premium","17%","-"))</f>
        <v>13%</v>
      </c>
      <c r="Y383" s="7" t="s">
        <v>62</v>
      </c>
    </row>
    <row r="384" spans="1:25" ht="50" customHeight="1" x14ac:dyDescent="0.25">
      <c r="A384" s="5" t="s">
        <v>1815</v>
      </c>
      <c r="B384" s="5" t="s">
        <v>1816</v>
      </c>
      <c r="C384" s="5" t="s">
        <v>1817</v>
      </c>
      <c r="D384" s="5"/>
      <c r="E384" s="6" t="s">
        <v>1818</v>
      </c>
      <c r="F384" s="6" t="s">
        <v>1819</v>
      </c>
      <c r="G384" s="5" t="s">
        <v>1819</v>
      </c>
      <c r="H384" s="7">
        <v>12</v>
      </c>
      <c r="I384" s="7">
        <v>28.49</v>
      </c>
      <c r="J384" s="7" t="s">
        <v>58</v>
      </c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 t="s">
        <v>59</v>
      </c>
      <c r="V384" s="7" t="s">
        <v>60</v>
      </c>
      <c r="W384" s="7" t="s">
        <v>61</v>
      </c>
      <c r="X384" s="5" t="str">
        <f ca="1">IF(INDIRECT("W384")="Clássico","13%",IF(INDIRECT("W384")="Premium","17%","-"))</f>
        <v>13%</v>
      </c>
      <c r="Y384" s="7" t="s">
        <v>62</v>
      </c>
    </row>
    <row r="385" spans="1:25" ht="50" customHeight="1" x14ac:dyDescent="0.25">
      <c r="A385" s="5" t="s">
        <v>1820</v>
      </c>
      <c r="B385" s="5" t="s">
        <v>1821</v>
      </c>
      <c r="C385" s="5" t="s">
        <v>1822</v>
      </c>
      <c r="D385" s="5"/>
      <c r="E385" s="6" t="s">
        <v>1823</v>
      </c>
      <c r="F385" s="6" t="s">
        <v>1824</v>
      </c>
      <c r="G385" s="5" t="s">
        <v>653</v>
      </c>
      <c r="H385" s="7">
        <v>36</v>
      </c>
      <c r="I385" s="7">
        <v>71.489999999999995</v>
      </c>
      <c r="J385" s="7" t="s">
        <v>58</v>
      </c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 t="s">
        <v>59</v>
      </c>
      <c r="V385" s="7" t="s">
        <v>60</v>
      </c>
      <c r="W385" s="7" t="s">
        <v>61</v>
      </c>
      <c r="X385" s="5" t="str">
        <f ca="1">IF(INDIRECT("W385")="Clássico","13%",IF(INDIRECT("W385")="Premium","17%","-"))</f>
        <v>13%</v>
      </c>
      <c r="Y385" s="7" t="s">
        <v>62</v>
      </c>
    </row>
    <row r="386" spans="1:25" ht="50" customHeight="1" x14ac:dyDescent="0.25">
      <c r="A386" s="5" t="s">
        <v>1825</v>
      </c>
      <c r="B386" s="5" t="s">
        <v>1826</v>
      </c>
      <c r="C386" s="5" t="s">
        <v>1827</v>
      </c>
      <c r="D386" s="5"/>
      <c r="E386" s="6" t="s">
        <v>1828</v>
      </c>
      <c r="F386" s="6" t="s">
        <v>1829</v>
      </c>
      <c r="G386" s="5" t="s">
        <v>1829</v>
      </c>
      <c r="H386" s="7">
        <v>24</v>
      </c>
      <c r="I386" s="7">
        <v>28.49</v>
      </c>
      <c r="J386" s="7" t="s">
        <v>58</v>
      </c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 t="s">
        <v>59</v>
      </c>
      <c r="V386" s="7" t="s">
        <v>60</v>
      </c>
      <c r="W386" s="7" t="s">
        <v>61</v>
      </c>
      <c r="X386" s="5" t="str">
        <f ca="1">IF(INDIRECT("W386")="Clássico","13%",IF(INDIRECT("W386")="Premium","17%","-"))</f>
        <v>13%</v>
      </c>
      <c r="Y386" s="7" t="s">
        <v>62</v>
      </c>
    </row>
    <row r="387" spans="1:25" ht="50" customHeight="1" x14ac:dyDescent="0.25">
      <c r="A387" s="5" t="s">
        <v>1545</v>
      </c>
      <c r="B387" s="5" t="s">
        <v>1830</v>
      </c>
      <c r="C387" s="5" t="s">
        <v>1547</v>
      </c>
      <c r="D387" s="5"/>
      <c r="E387" s="6" t="s">
        <v>1548</v>
      </c>
      <c r="F387" s="6" t="s">
        <v>1549</v>
      </c>
      <c r="G387" s="5" t="s">
        <v>1549</v>
      </c>
      <c r="H387" s="7">
        <v>4</v>
      </c>
      <c r="I387" s="7">
        <v>35.49</v>
      </c>
      <c r="J387" s="7" t="s">
        <v>58</v>
      </c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 t="s">
        <v>59</v>
      </c>
      <c r="V387" s="7" t="s">
        <v>60</v>
      </c>
      <c r="W387" s="7" t="s">
        <v>61</v>
      </c>
      <c r="X387" s="5" t="str">
        <f ca="1">IF(INDIRECT("W387")="Clássico","13%",IF(INDIRECT("W387")="Premium","17%","-"))</f>
        <v>13%</v>
      </c>
      <c r="Y387" s="7" t="s">
        <v>62</v>
      </c>
    </row>
    <row r="388" spans="1:25" ht="50" customHeight="1" x14ac:dyDescent="0.25">
      <c r="A388" s="5" t="s">
        <v>1372</v>
      </c>
      <c r="B388" s="5" t="s">
        <v>1831</v>
      </c>
      <c r="C388" s="5" t="s">
        <v>1374</v>
      </c>
      <c r="D388" s="5"/>
      <c r="E388" s="6" t="s">
        <v>1375</v>
      </c>
      <c r="F388" s="6" t="s">
        <v>1832</v>
      </c>
      <c r="G388" s="5" t="s">
        <v>1832</v>
      </c>
      <c r="H388" s="7">
        <v>5</v>
      </c>
      <c r="I388" s="7">
        <v>207.49</v>
      </c>
      <c r="J388" s="7" t="s">
        <v>58</v>
      </c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 t="s">
        <v>59</v>
      </c>
      <c r="V388" s="7" t="s">
        <v>129</v>
      </c>
      <c r="W388" s="7" t="s">
        <v>84</v>
      </c>
      <c r="X388" s="5" t="str">
        <f ca="1">IF(INDIRECT("W388")="Clássico","14%",IF(INDIRECT("W388")="Premium","19%","-"))</f>
        <v>19%</v>
      </c>
      <c r="Y388" s="7" t="s">
        <v>62</v>
      </c>
    </row>
    <row r="389" spans="1:25" ht="50" customHeight="1" x14ac:dyDescent="0.25">
      <c r="A389" s="5" t="s">
        <v>1833</v>
      </c>
      <c r="B389" s="5" t="s">
        <v>1834</v>
      </c>
      <c r="C389" s="5" t="s">
        <v>1835</v>
      </c>
      <c r="D389" s="5"/>
      <c r="E389" s="6" t="s">
        <v>1836</v>
      </c>
      <c r="F389" s="6" t="s">
        <v>1837</v>
      </c>
      <c r="G389" s="5" t="s">
        <v>1837</v>
      </c>
      <c r="H389" s="7">
        <v>6</v>
      </c>
      <c r="I389" s="5" t="s">
        <v>2</v>
      </c>
      <c r="J389" s="7" t="s">
        <v>58</v>
      </c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5" t="s">
        <v>59</v>
      </c>
      <c r="V389" s="7" t="s">
        <v>60</v>
      </c>
      <c r="W389" s="7" t="s">
        <v>61</v>
      </c>
      <c r="X389" s="5" t="str">
        <f ca="1">IF(INDIRECT("W389")="Clássico","14%",IF(INDIRECT("W389")="Premium","19%","-"))</f>
        <v>14%</v>
      </c>
      <c r="Y389" s="7" t="s">
        <v>62</v>
      </c>
    </row>
    <row r="390" spans="1:25" ht="50" customHeight="1" x14ac:dyDescent="0.25">
      <c r="A390" s="5" t="s">
        <v>1838</v>
      </c>
      <c r="B390" s="5" t="s">
        <v>1839</v>
      </c>
      <c r="C390" s="5" t="s">
        <v>1840</v>
      </c>
      <c r="D390" s="5"/>
      <c r="E390" s="6" t="s">
        <v>1841</v>
      </c>
      <c r="F390" s="6" t="s">
        <v>1842</v>
      </c>
      <c r="G390" s="5" t="s">
        <v>1842</v>
      </c>
      <c r="H390" s="7">
        <v>12</v>
      </c>
      <c r="I390" s="7">
        <v>35.49</v>
      </c>
      <c r="J390" s="7" t="s">
        <v>58</v>
      </c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 t="s">
        <v>59</v>
      </c>
      <c r="V390" s="7" t="s">
        <v>60</v>
      </c>
      <c r="W390" s="7" t="s">
        <v>61</v>
      </c>
      <c r="X390" s="5" t="str">
        <f ca="1">IF(INDIRECT("W390")="Clássico","13%",IF(INDIRECT("W390")="Premium","17%","-"))</f>
        <v>13%</v>
      </c>
      <c r="Y390" s="7" t="s">
        <v>62</v>
      </c>
    </row>
    <row r="391" spans="1:25" ht="50" customHeight="1" x14ac:dyDescent="0.25">
      <c r="A391" s="5" t="s">
        <v>1843</v>
      </c>
      <c r="B391" s="5" t="s">
        <v>1844</v>
      </c>
      <c r="C391" s="5" t="s">
        <v>1845</v>
      </c>
      <c r="D391" s="5"/>
      <c r="E391" s="6" t="s">
        <v>1846</v>
      </c>
      <c r="F391" s="6" t="s">
        <v>1847</v>
      </c>
      <c r="G391" s="5" t="s">
        <v>1847</v>
      </c>
      <c r="H391" s="7">
        <v>8</v>
      </c>
      <c r="I391" s="7">
        <v>255.49</v>
      </c>
      <c r="J391" s="7" t="s">
        <v>58</v>
      </c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 t="s">
        <v>59</v>
      </c>
      <c r="V391" s="7" t="s">
        <v>129</v>
      </c>
      <c r="W391" s="7" t="s">
        <v>84</v>
      </c>
      <c r="X391" s="5" t="str">
        <f ca="1">IF(INDIRECT("W391")="Clássico","14%",IF(INDIRECT("W391")="Premium","19%","-"))</f>
        <v>19%</v>
      </c>
      <c r="Y391" s="7" t="s">
        <v>62</v>
      </c>
    </row>
    <row r="392" spans="1:25" ht="50" customHeight="1" x14ac:dyDescent="0.25">
      <c r="A392" s="5" t="s">
        <v>1848</v>
      </c>
      <c r="B392" s="5" t="s">
        <v>1849</v>
      </c>
      <c r="C392" s="5" t="s">
        <v>1850</v>
      </c>
      <c r="D392" s="5"/>
      <c r="E392" s="6" t="s">
        <v>1851</v>
      </c>
      <c r="F392" s="6" t="s">
        <v>1852</v>
      </c>
      <c r="G392" s="5" t="s">
        <v>1852</v>
      </c>
      <c r="H392" s="7">
        <v>24</v>
      </c>
      <c r="I392" s="7">
        <v>25.49</v>
      </c>
      <c r="J392" s="7" t="s">
        <v>58</v>
      </c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 t="s">
        <v>59</v>
      </c>
      <c r="V392" s="7" t="s">
        <v>60</v>
      </c>
      <c r="W392" s="7" t="s">
        <v>61</v>
      </c>
      <c r="X392" s="5" t="str">
        <f ca="1">IF(INDIRECT("W392")="Clássico","13%",IF(INDIRECT("W392")="Premium","17%","-"))</f>
        <v>13%</v>
      </c>
      <c r="Y392" s="7" t="s">
        <v>62</v>
      </c>
    </row>
    <row r="393" spans="1:25" ht="50" customHeight="1" x14ac:dyDescent="0.25">
      <c r="A393" s="5" t="s">
        <v>1853</v>
      </c>
      <c r="B393" s="5" t="s">
        <v>1854</v>
      </c>
      <c r="C393" s="5" t="s">
        <v>1855</v>
      </c>
      <c r="D393" s="5"/>
      <c r="E393" s="6" t="s">
        <v>1856</v>
      </c>
      <c r="F393" s="6" t="s">
        <v>1857</v>
      </c>
      <c r="G393" s="5" t="s">
        <v>1857</v>
      </c>
      <c r="H393" s="7">
        <v>10</v>
      </c>
      <c r="I393" s="7">
        <v>30.49</v>
      </c>
      <c r="J393" s="7" t="s">
        <v>58</v>
      </c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 t="s">
        <v>59</v>
      </c>
      <c r="V393" s="7" t="s">
        <v>60</v>
      </c>
      <c r="W393" s="7" t="s">
        <v>61</v>
      </c>
      <c r="X393" s="5" t="str">
        <f ca="1">IF(INDIRECT("W393")="Clássico","13%",IF(INDIRECT("W393")="Premium","17%","-"))</f>
        <v>13%</v>
      </c>
      <c r="Y393" s="7" t="s">
        <v>62</v>
      </c>
    </row>
    <row r="394" spans="1:25" ht="50" customHeight="1" x14ac:dyDescent="0.25">
      <c r="A394" s="5" t="s">
        <v>1858</v>
      </c>
      <c r="B394" s="5" t="s">
        <v>1859</v>
      </c>
      <c r="C394" s="5" t="s">
        <v>1860</v>
      </c>
      <c r="D394" s="5"/>
      <c r="E394" s="6" t="s">
        <v>1861</v>
      </c>
      <c r="F394" s="6" t="s">
        <v>1862</v>
      </c>
      <c r="G394" s="5" t="s">
        <v>1862</v>
      </c>
      <c r="H394" s="7">
        <v>4</v>
      </c>
      <c r="I394" s="7">
        <v>35.49</v>
      </c>
      <c r="J394" s="7" t="s">
        <v>58</v>
      </c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 t="s">
        <v>59</v>
      </c>
      <c r="V394" s="7" t="s">
        <v>60</v>
      </c>
      <c r="W394" s="7" t="s">
        <v>61</v>
      </c>
      <c r="X394" s="5" t="str">
        <f ca="1">IF(INDIRECT("W394")="Clássico","13%",IF(INDIRECT("W394")="Premium","17%","-"))</f>
        <v>13%</v>
      </c>
      <c r="Y394" s="7" t="s">
        <v>62</v>
      </c>
    </row>
    <row r="395" spans="1:25" ht="50" customHeight="1" x14ac:dyDescent="0.25">
      <c r="A395" s="5" t="s">
        <v>1332</v>
      </c>
      <c r="B395" s="5" t="s">
        <v>1863</v>
      </c>
      <c r="C395" s="5" t="s">
        <v>1334</v>
      </c>
      <c r="D395" s="5"/>
      <c r="E395" s="6" t="s">
        <v>1335</v>
      </c>
      <c r="F395" s="6" t="s">
        <v>1864</v>
      </c>
      <c r="G395" s="5" t="s">
        <v>1864</v>
      </c>
      <c r="H395" s="7">
        <v>11</v>
      </c>
      <c r="I395" s="7">
        <v>20.49</v>
      </c>
      <c r="J395" s="7" t="s">
        <v>58</v>
      </c>
      <c r="K395" s="7">
        <v>22.9</v>
      </c>
      <c r="L395" s="7">
        <v>3</v>
      </c>
      <c r="M395" s="7"/>
      <c r="N395" s="7"/>
      <c r="O395" s="7"/>
      <c r="P395" s="7"/>
      <c r="Q395" s="7"/>
      <c r="R395" s="7"/>
      <c r="S395" s="7"/>
      <c r="T395" s="7"/>
      <c r="U395" s="7" t="s">
        <v>59</v>
      </c>
      <c r="V395" s="7" t="s">
        <v>60</v>
      </c>
      <c r="W395" s="7" t="s">
        <v>61</v>
      </c>
      <c r="X395" s="5" t="str">
        <f ca="1">IF(INDIRECT("W395")="Clássico","12%",IF(INDIRECT("W395")="Premium","17%","-"))</f>
        <v>12%</v>
      </c>
      <c r="Y395" s="7" t="s">
        <v>62</v>
      </c>
    </row>
    <row r="396" spans="1:25" ht="50" customHeight="1" x14ac:dyDescent="0.25">
      <c r="A396" s="5" t="s">
        <v>1865</v>
      </c>
      <c r="B396" s="5" t="s">
        <v>1866</v>
      </c>
      <c r="C396" s="5" t="s">
        <v>1867</v>
      </c>
      <c r="D396" s="5"/>
      <c r="E396" s="6" t="s">
        <v>1868</v>
      </c>
      <c r="F396" s="6" t="s">
        <v>1869</v>
      </c>
      <c r="G396" s="5" t="s">
        <v>1869</v>
      </c>
      <c r="H396" s="7">
        <v>10</v>
      </c>
      <c r="I396" s="7">
        <v>43.49</v>
      </c>
      <c r="J396" s="7" t="s">
        <v>58</v>
      </c>
      <c r="K396" s="7">
        <v>39.99</v>
      </c>
      <c r="L396" s="7">
        <v>3</v>
      </c>
      <c r="M396" s="7"/>
      <c r="N396" s="7"/>
      <c r="O396" s="7"/>
      <c r="P396" s="7"/>
      <c r="Q396" s="7"/>
      <c r="R396" s="7"/>
      <c r="S396" s="7"/>
      <c r="T396" s="7"/>
      <c r="U396" s="7" t="s">
        <v>59</v>
      </c>
      <c r="V396" s="7" t="s">
        <v>60</v>
      </c>
      <c r="W396" s="7" t="s">
        <v>61</v>
      </c>
      <c r="X396" s="5" t="str">
        <f ca="1">IF(INDIRECT("W396")="Clássico","13%",IF(INDIRECT("W396")="Premium","17%","-"))</f>
        <v>13%</v>
      </c>
      <c r="Y396" s="7" t="s">
        <v>62</v>
      </c>
    </row>
    <row r="397" spans="1:25" ht="50" customHeight="1" x14ac:dyDescent="0.25">
      <c r="A397" s="5" t="s">
        <v>1870</v>
      </c>
      <c r="B397" s="5" t="s">
        <v>1871</v>
      </c>
      <c r="C397" s="5" t="s">
        <v>1872</v>
      </c>
      <c r="D397" s="5"/>
      <c r="E397" s="6" t="s">
        <v>1873</v>
      </c>
      <c r="F397" s="6" t="s">
        <v>1874</v>
      </c>
      <c r="G397" s="5" t="s">
        <v>653</v>
      </c>
      <c r="H397" s="7">
        <v>12</v>
      </c>
      <c r="I397" s="7">
        <v>58.49</v>
      </c>
      <c r="J397" s="7" t="s">
        <v>58</v>
      </c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 t="s">
        <v>59</v>
      </c>
      <c r="V397" s="7" t="s">
        <v>60</v>
      </c>
      <c r="W397" s="7" t="s">
        <v>61</v>
      </c>
      <c r="X397" s="5" t="str">
        <f ca="1">IF(INDIRECT("W397")="Clássico","13%",IF(INDIRECT("W397")="Premium","17%","-"))</f>
        <v>13%</v>
      </c>
      <c r="Y397" s="7" t="s">
        <v>62</v>
      </c>
    </row>
    <row r="398" spans="1:25" ht="50" customHeight="1" x14ac:dyDescent="0.25">
      <c r="A398" s="5" t="s">
        <v>1875</v>
      </c>
      <c r="B398" s="5" t="s">
        <v>1876</v>
      </c>
      <c r="C398" s="5" t="s">
        <v>1877</v>
      </c>
      <c r="D398" s="5"/>
      <c r="E398" s="6" t="s">
        <v>1878</v>
      </c>
      <c r="F398" s="6" t="s">
        <v>1879</v>
      </c>
      <c r="G398" s="5" t="s">
        <v>1879</v>
      </c>
      <c r="H398" s="7">
        <v>6</v>
      </c>
      <c r="I398" s="7">
        <v>93.49</v>
      </c>
      <c r="J398" s="7" t="s">
        <v>58</v>
      </c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 t="s">
        <v>59</v>
      </c>
      <c r="V398" s="7" t="s">
        <v>129</v>
      </c>
      <c r="W398" s="7" t="s">
        <v>61</v>
      </c>
      <c r="X398" s="5" t="str">
        <f ca="1">IF(INDIRECT("W398")="Clássico","14%",IF(INDIRECT("W398")="Premium","19%","-"))</f>
        <v>14%</v>
      </c>
      <c r="Y398" s="7" t="s">
        <v>62</v>
      </c>
    </row>
    <row r="399" spans="1:25" ht="50" customHeight="1" x14ac:dyDescent="0.25">
      <c r="A399" s="5" t="s">
        <v>1880</v>
      </c>
      <c r="B399" s="5" t="s">
        <v>1881</v>
      </c>
      <c r="C399" s="5" t="s">
        <v>1882</v>
      </c>
      <c r="D399" s="5"/>
      <c r="E399" s="6" t="s">
        <v>1883</v>
      </c>
      <c r="F399" s="6" t="s">
        <v>1884</v>
      </c>
      <c r="G399" s="5" t="s">
        <v>1884</v>
      </c>
      <c r="H399" s="7">
        <v>12</v>
      </c>
      <c r="I399" s="7">
        <v>26.49</v>
      </c>
      <c r="J399" s="7" t="s">
        <v>58</v>
      </c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 t="s">
        <v>59</v>
      </c>
      <c r="V399" s="7" t="s">
        <v>101</v>
      </c>
      <c r="W399" s="7" t="s">
        <v>61</v>
      </c>
      <c r="X399" s="5" t="str">
        <f ca="1">IF(INDIRECT("W399")="Clássico","13%",IF(INDIRECT("W399")="Premium","17%","-"))</f>
        <v>13%</v>
      </c>
      <c r="Y399" s="7" t="s">
        <v>62</v>
      </c>
    </row>
    <row r="400" spans="1:25" ht="50" customHeight="1" x14ac:dyDescent="0.25">
      <c r="A400" s="5" t="s">
        <v>1885</v>
      </c>
      <c r="B400" s="5" t="s">
        <v>1886</v>
      </c>
      <c r="C400" s="5" t="s">
        <v>1887</v>
      </c>
      <c r="D400" s="5"/>
      <c r="E400" s="6" t="s">
        <v>1888</v>
      </c>
      <c r="F400" s="6" t="s">
        <v>1889</v>
      </c>
      <c r="G400" s="5" t="s">
        <v>1889</v>
      </c>
      <c r="H400" s="7">
        <v>5</v>
      </c>
      <c r="I400" s="7">
        <v>29.49</v>
      </c>
      <c r="J400" s="7" t="s">
        <v>58</v>
      </c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 t="s">
        <v>59</v>
      </c>
      <c r="V400" s="7" t="s">
        <v>101</v>
      </c>
      <c r="W400" s="7" t="s">
        <v>61</v>
      </c>
      <c r="X400" s="5" t="str">
        <f ca="1">IF(INDIRECT("W400")="Clássico","13%",IF(INDIRECT("W400")="Premium","17%","-"))</f>
        <v>13%</v>
      </c>
      <c r="Y400" s="7" t="s">
        <v>62</v>
      </c>
    </row>
    <row r="401" spans="1:25" ht="50" customHeight="1" x14ac:dyDescent="0.25">
      <c r="A401" s="5" t="s">
        <v>1890</v>
      </c>
      <c r="B401" s="5" t="s">
        <v>1891</v>
      </c>
      <c r="C401" s="5" t="s">
        <v>1892</v>
      </c>
      <c r="D401" s="5"/>
      <c r="E401" s="6" t="s">
        <v>1893</v>
      </c>
      <c r="F401" s="6" t="s">
        <v>1894</v>
      </c>
      <c r="G401" s="5" t="s">
        <v>1894</v>
      </c>
      <c r="H401" s="7">
        <v>60</v>
      </c>
      <c r="I401" s="7">
        <v>24.66</v>
      </c>
      <c r="J401" s="7" t="s">
        <v>58</v>
      </c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 t="s">
        <v>59</v>
      </c>
      <c r="V401" s="7" t="s">
        <v>60</v>
      </c>
      <c r="W401" s="7" t="s">
        <v>61</v>
      </c>
      <c r="X401" s="5" t="str">
        <f ca="1">IF(INDIRECT("W401")="Clássico","13%",IF(INDIRECT("W401")="Premium","17%","-"))</f>
        <v>13%</v>
      </c>
      <c r="Y401" s="7" t="s">
        <v>62</v>
      </c>
    </row>
    <row r="402" spans="1:25" ht="50" customHeight="1" x14ac:dyDescent="0.25">
      <c r="A402" s="5" t="s">
        <v>1895</v>
      </c>
      <c r="B402" s="5" t="s">
        <v>1896</v>
      </c>
      <c r="C402" s="5" t="s">
        <v>1897</v>
      </c>
      <c r="D402" s="5"/>
      <c r="E402" s="6" t="s">
        <v>1898</v>
      </c>
      <c r="F402" s="6" t="s">
        <v>1899</v>
      </c>
      <c r="G402" s="5" t="s">
        <v>1899</v>
      </c>
      <c r="H402" s="7">
        <v>143</v>
      </c>
      <c r="I402" s="7">
        <v>22.49</v>
      </c>
      <c r="J402" s="7" t="s">
        <v>58</v>
      </c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 t="s">
        <v>59</v>
      </c>
      <c r="V402" s="7" t="s">
        <v>101</v>
      </c>
      <c r="W402" s="7" t="s">
        <v>61</v>
      </c>
      <c r="X402" s="5" t="str">
        <f ca="1">IF(INDIRECT("W402")="Clássico","13%",IF(INDIRECT("W402")="Premium","17%","-"))</f>
        <v>13%</v>
      </c>
      <c r="Y402" s="7" t="s">
        <v>62</v>
      </c>
    </row>
    <row r="403" spans="1:25" ht="50" customHeight="1" x14ac:dyDescent="0.25">
      <c r="A403" s="5" t="s">
        <v>1900</v>
      </c>
      <c r="B403" s="5" t="s">
        <v>1901</v>
      </c>
      <c r="C403" s="5" t="s">
        <v>1902</v>
      </c>
      <c r="D403" s="5"/>
      <c r="E403" s="6" t="s">
        <v>1903</v>
      </c>
      <c r="F403" s="6" t="s">
        <v>1904</v>
      </c>
      <c r="G403" s="5" t="s">
        <v>1904</v>
      </c>
      <c r="H403" s="7">
        <v>4</v>
      </c>
      <c r="I403" s="7">
        <v>35.49</v>
      </c>
      <c r="J403" s="7" t="s">
        <v>58</v>
      </c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 t="s">
        <v>59</v>
      </c>
      <c r="V403" s="7" t="s">
        <v>60</v>
      </c>
      <c r="W403" s="7" t="s">
        <v>61</v>
      </c>
      <c r="X403" s="5" t="str">
        <f ca="1">IF(INDIRECT("W403")="Clássico","13%",IF(INDIRECT("W403")="Premium","17%","-"))</f>
        <v>13%</v>
      </c>
      <c r="Y403" s="7" t="s">
        <v>62</v>
      </c>
    </row>
    <row r="404" spans="1:25" ht="50" customHeight="1" x14ac:dyDescent="0.25">
      <c r="A404" s="5" t="s">
        <v>1905</v>
      </c>
      <c r="B404" s="5" t="s">
        <v>1906</v>
      </c>
      <c r="C404" s="5" t="s">
        <v>1907</v>
      </c>
      <c r="D404" s="5"/>
      <c r="E404" s="6" t="s">
        <v>1908</v>
      </c>
      <c r="F404" s="6" t="s">
        <v>1909</v>
      </c>
      <c r="G404" s="5" t="s">
        <v>1909</v>
      </c>
      <c r="H404" s="7">
        <v>4</v>
      </c>
      <c r="I404" s="7">
        <v>35.49</v>
      </c>
      <c r="J404" s="7" t="s">
        <v>58</v>
      </c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 t="s">
        <v>59</v>
      </c>
      <c r="V404" s="7" t="s">
        <v>60</v>
      </c>
      <c r="W404" s="7" t="s">
        <v>61</v>
      </c>
      <c r="X404" s="5" t="str">
        <f ca="1">IF(INDIRECT("W404")="Clássico","13%",IF(INDIRECT("W404")="Premium","17%","-"))</f>
        <v>13%</v>
      </c>
      <c r="Y404" s="7" t="s">
        <v>62</v>
      </c>
    </row>
    <row r="405" spans="1:25" ht="50" customHeight="1" x14ac:dyDescent="0.25">
      <c r="A405" s="5" t="s">
        <v>1540</v>
      </c>
      <c r="B405" s="5" t="s">
        <v>1910</v>
      </c>
      <c r="C405" s="5" t="s">
        <v>1542</v>
      </c>
      <c r="D405" s="5"/>
      <c r="E405" s="6" t="s">
        <v>1543</v>
      </c>
      <c r="F405" s="6" t="s">
        <v>1544</v>
      </c>
      <c r="G405" s="5" t="s">
        <v>1544</v>
      </c>
      <c r="H405" s="7">
        <v>6</v>
      </c>
      <c r="I405" s="7">
        <v>15.49</v>
      </c>
      <c r="J405" s="7" t="s">
        <v>58</v>
      </c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 t="s">
        <v>59</v>
      </c>
      <c r="V405" s="7" t="s">
        <v>60</v>
      </c>
      <c r="W405" s="7" t="s">
        <v>61</v>
      </c>
      <c r="X405" s="5" t="str">
        <f ca="1">IF(INDIRECT("W405")="Clássico","13%",IF(INDIRECT("W405")="Premium","17%","-"))</f>
        <v>13%</v>
      </c>
      <c r="Y405" s="7" t="s">
        <v>62</v>
      </c>
    </row>
    <row r="406" spans="1:25" ht="50" customHeight="1" x14ac:dyDescent="0.25">
      <c r="A406" s="5" t="s">
        <v>1911</v>
      </c>
      <c r="B406" s="5" t="s">
        <v>1912</v>
      </c>
      <c r="C406" s="5" t="s">
        <v>1913</v>
      </c>
      <c r="D406" s="5"/>
      <c r="E406" s="6" t="s">
        <v>1914</v>
      </c>
      <c r="F406" s="6" t="s">
        <v>1915</v>
      </c>
      <c r="G406" s="5" t="s">
        <v>1915</v>
      </c>
      <c r="H406" s="7">
        <v>288</v>
      </c>
      <c r="I406" s="7">
        <v>22.49</v>
      </c>
      <c r="J406" s="7" t="s">
        <v>58</v>
      </c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 t="s">
        <v>59</v>
      </c>
      <c r="V406" s="7" t="s">
        <v>60</v>
      </c>
      <c r="W406" s="7" t="s">
        <v>61</v>
      </c>
      <c r="X406" s="5" t="str">
        <f ca="1">IF(INDIRECT("W406")="Clássico","13%",IF(INDIRECT("W406")="Premium","17%","-"))</f>
        <v>13%</v>
      </c>
      <c r="Y406" s="7" t="s">
        <v>62</v>
      </c>
    </row>
    <row r="407" spans="1:25" ht="50" customHeight="1" x14ac:dyDescent="0.25">
      <c r="A407" s="5" t="s">
        <v>1916</v>
      </c>
      <c r="B407" s="5" t="s">
        <v>1917</v>
      </c>
      <c r="C407" s="5" t="s">
        <v>1918</v>
      </c>
      <c r="D407" s="5"/>
      <c r="E407" s="6" t="s">
        <v>1919</v>
      </c>
      <c r="F407" s="6" t="s">
        <v>1920</v>
      </c>
      <c r="G407" s="5" t="s">
        <v>1920</v>
      </c>
      <c r="H407" s="7">
        <v>12</v>
      </c>
      <c r="I407" s="7">
        <v>16.489999999999998</v>
      </c>
      <c r="J407" s="7" t="s">
        <v>58</v>
      </c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 t="s">
        <v>59</v>
      </c>
      <c r="V407" s="7" t="s">
        <v>60</v>
      </c>
      <c r="W407" s="7" t="s">
        <v>61</v>
      </c>
      <c r="X407" s="5" t="str">
        <f ca="1">IF(INDIRECT("W407")="Clássico","13%",IF(INDIRECT("W407")="Premium","17%","-"))</f>
        <v>13%</v>
      </c>
      <c r="Y407" s="7" t="s">
        <v>62</v>
      </c>
    </row>
    <row r="408" spans="1:25" ht="50" customHeight="1" x14ac:dyDescent="0.25">
      <c r="A408" s="5" t="s">
        <v>1921</v>
      </c>
      <c r="B408" s="5" t="s">
        <v>1922</v>
      </c>
      <c r="C408" s="5" t="s">
        <v>1923</v>
      </c>
      <c r="D408" s="5"/>
      <c r="E408" s="6" t="s">
        <v>1924</v>
      </c>
      <c r="F408" s="6" t="s">
        <v>1925</v>
      </c>
      <c r="G408" s="5" t="s">
        <v>1925</v>
      </c>
      <c r="H408" s="7">
        <v>18</v>
      </c>
      <c r="I408" s="7">
        <v>26.49</v>
      </c>
      <c r="J408" s="7" t="s">
        <v>58</v>
      </c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 t="s">
        <v>59</v>
      </c>
      <c r="V408" s="7" t="s">
        <v>101</v>
      </c>
      <c r="W408" s="7" t="s">
        <v>61</v>
      </c>
      <c r="X408" s="5" t="str">
        <f ca="1">IF(INDIRECT("W408")="Clássico","13%",IF(INDIRECT("W408")="Premium","17%","-"))</f>
        <v>13%</v>
      </c>
      <c r="Y408" s="7" t="s">
        <v>62</v>
      </c>
    </row>
    <row r="409" spans="1:25" ht="50" customHeight="1" x14ac:dyDescent="0.25">
      <c r="A409" s="5" t="s">
        <v>1926</v>
      </c>
      <c r="B409" s="5" t="s">
        <v>1927</v>
      </c>
      <c r="C409" s="5" t="s">
        <v>1928</v>
      </c>
      <c r="D409" s="5"/>
      <c r="E409" s="6" t="s">
        <v>1929</v>
      </c>
      <c r="F409" s="6" t="s">
        <v>1930</v>
      </c>
      <c r="G409" s="5" t="s">
        <v>1930</v>
      </c>
      <c r="H409" s="7">
        <v>11</v>
      </c>
      <c r="I409" s="7">
        <v>26.49</v>
      </c>
      <c r="J409" s="7" t="s">
        <v>58</v>
      </c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 t="s">
        <v>59</v>
      </c>
      <c r="V409" s="7" t="s">
        <v>101</v>
      </c>
      <c r="W409" s="7" t="s">
        <v>61</v>
      </c>
      <c r="X409" s="5" t="str">
        <f ca="1">IF(INDIRECT("W409")="Clássico","13%",IF(INDIRECT("W409")="Premium","17%","-"))</f>
        <v>13%</v>
      </c>
      <c r="Y409" s="7" t="s">
        <v>62</v>
      </c>
    </row>
    <row r="410" spans="1:25" ht="50" customHeight="1" x14ac:dyDescent="0.25">
      <c r="A410" s="5" t="s">
        <v>1931</v>
      </c>
      <c r="B410" s="5" t="s">
        <v>1932</v>
      </c>
      <c r="C410" s="5" t="s">
        <v>1933</v>
      </c>
      <c r="D410" s="5"/>
      <c r="E410" s="6" t="s">
        <v>1934</v>
      </c>
      <c r="F410" s="6" t="s">
        <v>1935</v>
      </c>
      <c r="G410" s="5" t="s">
        <v>1935</v>
      </c>
      <c r="H410" s="7">
        <v>6</v>
      </c>
      <c r="I410" s="7">
        <v>26.49</v>
      </c>
      <c r="J410" s="7" t="s">
        <v>58</v>
      </c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 t="s">
        <v>59</v>
      </c>
      <c r="V410" s="7" t="s">
        <v>101</v>
      </c>
      <c r="W410" s="7" t="s">
        <v>61</v>
      </c>
      <c r="X410" s="5" t="str">
        <f ca="1">IF(INDIRECT("W410")="Clássico","13%",IF(INDIRECT("W410")="Premium","17%","-"))</f>
        <v>13%</v>
      </c>
      <c r="Y410" s="7" t="s">
        <v>62</v>
      </c>
    </row>
    <row r="411" spans="1:25" ht="50" customHeight="1" x14ac:dyDescent="0.25">
      <c r="A411" s="5" t="s">
        <v>1936</v>
      </c>
      <c r="B411" s="5" t="s">
        <v>1937</v>
      </c>
      <c r="C411" s="5" t="s">
        <v>1938</v>
      </c>
      <c r="D411" s="5"/>
      <c r="E411" s="6" t="s">
        <v>1939</v>
      </c>
      <c r="F411" s="6" t="s">
        <v>1940</v>
      </c>
      <c r="G411" s="5" t="s">
        <v>1940</v>
      </c>
      <c r="H411" s="7">
        <v>6</v>
      </c>
      <c r="I411" s="7">
        <v>26.49</v>
      </c>
      <c r="J411" s="7" t="s">
        <v>58</v>
      </c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 t="s">
        <v>59</v>
      </c>
      <c r="V411" s="7" t="s">
        <v>101</v>
      </c>
      <c r="W411" s="7" t="s">
        <v>61</v>
      </c>
      <c r="X411" s="5" t="str">
        <f ca="1">IF(INDIRECT("W411")="Clássico","13%",IF(INDIRECT("W411")="Premium","17%","-"))</f>
        <v>13%</v>
      </c>
      <c r="Y411" s="7" t="s">
        <v>62</v>
      </c>
    </row>
    <row r="412" spans="1:25" ht="50" customHeight="1" x14ac:dyDescent="0.25">
      <c r="A412" s="5" t="s">
        <v>1941</v>
      </c>
      <c r="B412" s="5" t="s">
        <v>1942</v>
      </c>
      <c r="C412" s="5" t="s">
        <v>1943</v>
      </c>
      <c r="D412" s="5"/>
      <c r="E412" s="6" t="s">
        <v>1944</v>
      </c>
      <c r="F412" s="6" t="s">
        <v>1945</v>
      </c>
      <c r="G412" s="5" t="s">
        <v>1945</v>
      </c>
      <c r="H412" s="7">
        <v>4</v>
      </c>
      <c r="I412" s="7">
        <v>35.49</v>
      </c>
      <c r="J412" s="7" t="s">
        <v>58</v>
      </c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 t="s">
        <v>59</v>
      </c>
      <c r="V412" s="7" t="s">
        <v>60</v>
      </c>
      <c r="W412" s="7" t="s">
        <v>61</v>
      </c>
      <c r="X412" s="5" t="str">
        <f ca="1">IF(INDIRECT("W412")="Clássico","13%",IF(INDIRECT("W412")="Premium","17%","-"))</f>
        <v>13%</v>
      </c>
      <c r="Y412" s="7" t="s">
        <v>62</v>
      </c>
    </row>
    <row r="413" spans="1:25" ht="50" customHeight="1" x14ac:dyDescent="0.25">
      <c r="A413" s="5" t="s">
        <v>1946</v>
      </c>
      <c r="B413" s="5" t="s">
        <v>1947</v>
      </c>
      <c r="C413" s="5" t="s">
        <v>1948</v>
      </c>
      <c r="D413" s="5"/>
      <c r="E413" s="6" t="s">
        <v>1949</v>
      </c>
      <c r="F413" s="6" t="s">
        <v>1950</v>
      </c>
      <c r="G413" s="5" t="s">
        <v>1950</v>
      </c>
      <c r="H413" s="7">
        <v>4</v>
      </c>
      <c r="I413" s="7">
        <v>45.49</v>
      </c>
      <c r="J413" s="7" t="s">
        <v>58</v>
      </c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 t="s">
        <v>59</v>
      </c>
      <c r="V413" s="7" t="s">
        <v>60</v>
      </c>
      <c r="W413" s="7" t="s">
        <v>61</v>
      </c>
      <c r="X413" s="5" t="str">
        <f ca="1">IF(INDIRECT("W413")="Clássico","13%",IF(INDIRECT("W413")="Premium","17%","-"))</f>
        <v>13%</v>
      </c>
      <c r="Y413" s="7" t="s">
        <v>62</v>
      </c>
    </row>
    <row r="414" spans="1:25" ht="50" customHeight="1" x14ac:dyDescent="0.25">
      <c r="A414" s="5" t="s">
        <v>1951</v>
      </c>
      <c r="B414" s="5" t="s">
        <v>1952</v>
      </c>
      <c r="C414" s="5" t="s">
        <v>1953</v>
      </c>
      <c r="D414" s="5"/>
      <c r="E414" s="6" t="s">
        <v>1954</v>
      </c>
      <c r="F414" s="6" t="s">
        <v>1955</v>
      </c>
      <c r="G414" s="5" t="s">
        <v>1955</v>
      </c>
      <c r="H414" s="7">
        <v>4</v>
      </c>
      <c r="I414" s="7">
        <v>45.49</v>
      </c>
      <c r="J414" s="7" t="s">
        <v>58</v>
      </c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 t="s">
        <v>59</v>
      </c>
      <c r="V414" s="7" t="s">
        <v>60</v>
      </c>
      <c r="W414" s="7" t="s">
        <v>61</v>
      </c>
      <c r="X414" s="5" t="str">
        <f ca="1">IF(INDIRECT("W414")="Clássico","13%",IF(INDIRECT("W414")="Premium","17%","-"))</f>
        <v>13%</v>
      </c>
      <c r="Y414" s="7" t="s">
        <v>62</v>
      </c>
    </row>
    <row r="415" spans="1:25" ht="50" customHeight="1" x14ac:dyDescent="0.25">
      <c r="A415" s="5" t="s">
        <v>1956</v>
      </c>
      <c r="B415" s="5" t="s">
        <v>1957</v>
      </c>
      <c r="C415" s="5" t="s">
        <v>1958</v>
      </c>
      <c r="D415" s="5"/>
      <c r="E415" s="6" t="s">
        <v>1959</v>
      </c>
      <c r="F415" s="6" t="s">
        <v>1960</v>
      </c>
      <c r="G415" s="5" t="s">
        <v>1960</v>
      </c>
      <c r="H415" s="7">
        <v>12</v>
      </c>
      <c r="I415" s="7">
        <v>30.49</v>
      </c>
      <c r="J415" s="7" t="s">
        <v>58</v>
      </c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 t="s">
        <v>59</v>
      </c>
      <c r="V415" s="7" t="s">
        <v>101</v>
      </c>
      <c r="W415" s="7" t="s">
        <v>61</v>
      </c>
      <c r="X415" s="5" t="str">
        <f ca="1">IF(INDIRECT("W415")="Clássico","13%",IF(INDIRECT("W415")="Premium","17%","-"))</f>
        <v>13%</v>
      </c>
      <c r="Y415" s="7" t="s">
        <v>62</v>
      </c>
    </row>
    <row r="416" spans="1:25" ht="50" customHeight="1" x14ac:dyDescent="0.25">
      <c r="A416" s="5" t="s">
        <v>1961</v>
      </c>
      <c r="B416" s="5" t="s">
        <v>1962</v>
      </c>
      <c r="C416" s="5" t="s">
        <v>1963</v>
      </c>
      <c r="D416" s="5"/>
      <c r="E416" s="6" t="s">
        <v>1964</v>
      </c>
      <c r="F416" s="6" t="s">
        <v>1965</v>
      </c>
      <c r="G416" s="5" t="s">
        <v>1965</v>
      </c>
      <c r="H416" s="7">
        <v>6</v>
      </c>
      <c r="I416" s="7">
        <v>44.9</v>
      </c>
      <c r="J416" s="7" t="s">
        <v>58</v>
      </c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5" t="s">
        <v>59</v>
      </c>
      <c r="V416" s="7" t="s">
        <v>60</v>
      </c>
      <c r="W416" s="7" t="s">
        <v>61</v>
      </c>
      <c r="X416" s="5" t="str">
        <f ca="1">IF(INDIRECT("W416")="Clássico","14%",IF(INDIRECT("W416")="Premium","19%","-"))</f>
        <v>14%</v>
      </c>
      <c r="Y416" s="7" t="s">
        <v>62</v>
      </c>
    </row>
    <row r="417" spans="1:25" ht="50" customHeight="1" x14ac:dyDescent="0.25">
      <c r="A417" s="5" t="s">
        <v>1966</v>
      </c>
      <c r="B417" s="5" t="s">
        <v>1967</v>
      </c>
      <c r="C417" s="5" t="s">
        <v>1968</v>
      </c>
      <c r="D417" s="5"/>
      <c r="E417" s="6" t="s">
        <v>1969</v>
      </c>
      <c r="F417" s="6" t="s">
        <v>1970</v>
      </c>
      <c r="G417" s="5" t="s">
        <v>1970</v>
      </c>
      <c r="H417" s="7">
        <v>10</v>
      </c>
      <c r="I417" s="7">
        <v>21.49</v>
      </c>
      <c r="J417" s="7" t="s">
        <v>58</v>
      </c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 t="s">
        <v>59</v>
      </c>
      <c r="V417" s="7" t="s">
        <v>60</v>
      </c>
      <c r="W417" s="7" t="s">
        <v>61</v>
      </c>
      <c r="X417" s="5" t="str">
        <f ca="1">IF(INDIRECT("W417")="Clássico","13%",IF(INDIRECT("W417")="Premium","17%","-"))</f>
        <v>13%</v>
      </c>
      <c r="Y417" s="7" t="s">
        <v>62</v>
      </c>
    </row>
    <row r="418" spans="1:25" ht="50" customHeight="1" x14ac:dyDescent="0.25">
      <c r="A418" s="5" t="s">
        <v>1971</v>
      </c>
      <c r="B418" s="5" t="s">
        <v>1972</v>
      </c>
      <c r="C418" s="5" t="s">
        <v>1973</v>
      </c>
      <c r="D418" s="5"/>
      <c r="E418" s="6" t="s">
        <v>1974</v>
      </c>
      <c r="F418" s="6" t="s">
        <v>1975</v>
      </c>
      <c r="G418" s="5" t="s">
        <v>1975</v>
      </c>
      <c r="H418" s="7">
        <v>24</v>
      </c>
      <c r="I418" s="7">
        <v>20.49</v>
      </c>
      <c r="J418" s="7" t="s">
        <v>58</v>
      </c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 t="s">
        <v>59</v>
      </c>
      <c r="V418" s="7" t="s">
        <v>60</v>
      </c>
      <c r="W418" s="7" t="s">
        <v>61</v>
      </c>
      <c r="X418" s="5" t="str">
        <f ca="1">IF(INDIRECT("W418")="Clássico","13%",IF(INDIRECT("W418")="Premium","17%","-"))</f>
        <v>13%</v>
      </c>
      <c r="Y418" s="7" t="s">
        <v>62</v>
      </c>
    </row>
    <row r="419" spans="1:25" ht="50" customHeight="1" x14ac:dyDescent="0.25">
      <c r="A419" s="5" t="s">
        <v>1976</v>
      </c>
      <c r="B419" s="5" t="s">
        <v>1977</v>
      </c>
      <c r="C419" s="5" t="s">
        <v>1978</v>
      </c>
      <c r="D419" s="5"/>
      <c r="E419" s="6" t="s">
        <v>1979</v>
      </c>
      <c r="F419" s="6" t="s">
        <v>1980</v>
      </c>
      <c r="G419" s="5" t="s">
        <v>1980</v>
      </c>
      <c r="H419" s="7">
        <v>6</v>
      </c>
      <c r="I419" s="7">
        <v>26.49</v>
      </c>
      <c r="J419" s="7" t="s">
        <v>58</v>
      </c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 t="s">
        <v>59</v>
      </c>
      <c r="V419" s="7" t="s">
        <v>60</v>
      </c>
      <c r="W419" s="7" t="s">
        <v>61</v>
      </c>
      <c r="X419" s="5" t="str">
        <f ca="1">IF(INDIRECT("W419")="Clássico","13%",IF(INDIRECT("W419")="Premium","17%","-"))</f>
        <v>13%</v>
      </c>
      <c r="Y419" s="7" t="s">
        <v>62</v>
      </c>
    </row>
    <row r="420" spans="1:25" ht="50" customHeight="1" x14ac:dyDescent="0.25">
      <c r="A420" s="5" t="s">
        <v>1790</v>
      </c>
      <c r="B420" s="5" t="s">
        <v>1981</v>
      </c>
      <c r="C420" s="5" t="s">
        <v>1792</v>
      </c>
      <c r="D420" s="5"/>
      <c r="E420" s="6" t="s">
        <v>1793</v>
      </c>
      <c r="F420" s="6" t="s">
        <v>1982</v>
      </c>
      <c r="G420" s="5" t="s">
        <v>1982</v>
      </c>
      <c r="H420" s="7">
        <v>9</v>
      </c>
      <c r="I420" s="7">
        <v>24.49</v>
      </c>
      <c r="J420" s="7" t="s">
        <v>58</v>
      </c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 t="s">
        <v>59</v>
      </c>
      <c r="V420" s="7" t="s">
        <v>60</v>
      </c>
      <c r="W420" s="7" t="s">
        <v>61</v>
      </c>
      <c r="X420" s="5" t="str">
        <f ca="1">IF(INDIRECT("W420")="Clássico","13%",IF(INDIRECT("W420")="Premium","17%","-"))</f>
        <v>13%</v>
      </c>
      <c r="Y420" s="7" t="s">
        <v>62</v>
      </c>
    </row>
    <row r="421" spans="1:25" ht="50" customHeight="1" x14ac:dyDescent="0.25">
      <c r="A421" s="5" t="s">
        <v>1983</v>
      </c>
      <c r="B421" s="5" t="s">
        <v>1984</v>
      </c>
      <c r="C421" s="5" t="s">
        <v>1985</v>
      </c>
      <c r="D421" s="5"/>
      <c r="E421" s="6" t="s">
        <v>1986</v>
      </c>
      <c r="F421" s="6" t="s">
        <v>1987</v>
      </c>
      <c r="G421" s="5" t="s">
        <v>1987</v>
      </c>
      <c r="H421" s="7">
        <v>6</v>
      </c>
      <c r="I421" s="7">
        <v>44.9</v>
      </c>
      <c r="J421" s="7" t="s">
        <v>58</v>
      </c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5" t="s">
        <v>59</v>
      </c>
      <c r="V421" s="7" t="s">
        <v>60</v>
      </c>
      <c r="W421" s="7" t="s">
        <v>61</v>
      </c>
      <c r="X421" s="5" t="str">
        <f ca="1">IF(INDIRECT("W421")="Clássico","14%",IF(INDIRECT("W421")="Premium","19%","-"))</f>
        <v>14%</v>
      </c>
      <c r="Y421" s="7" t="s">
        <v>62</v>
      </c>
    </row>
    <row r="422" spans="1:25" ht="50" customHeight="1" x14ac:dyDescent="0.25">
      <c r="A422" s="5" t="s">
        <v>1988</v>
      </c>
      <c r="B422" s="5" t="s">
        <v>1989</v>
      </c>
      <c r="C422" s="5" t="s">
        <v>1990</v>
      </c>
      <c r="D422" s="5"/>
      <c r="E422" s="6" t="s">
        <v>1991</v>
      </c>
      <c r="F422" s="6" t="s">
        <v>1992</v>
      </c>
      <c r="G422" s="5" t="s">
        <v>1993</v>
      </c>
      <c r="H422" s="7">
        <v>24</v>
      </c>
      <c r="I422" s="7">
        <v>22.49</v>
      </c>
      <c r="J422" s="7" t="s">
        <v>58</v>
      </c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 t="s">
        <v>59</v>
      </c>
      <c r="V422" s="7" t="s">
        <v>60</v>
      </c>
      <c r="W422" s="7" t="s">
        <v>61</v>
      </c>
      <c r="X422" s="5" t="str">
        <f ca="1">IF(INDIRECT("W422")="Clássico","13%",IF(INDIRECT("W422")="Premium","17%","-"))</f>
        <v>13%</v>
      </c>
      <c r="Y422" s="7" t="s">
        <v>62</v>
      </c>
    </row>
    <row r="423" spans="1:25" ht="50" customHeight="1" x14ac:dyDescent="0.25">
      <c r="A423" s="5" t="s">
        <v>1728</v>
      </c>
      <c r="B423" s="5" t="s">
        <v>1994</v>
      </c>
      <c r="C423" s="5" t="s">
        <v>1995</v>
      </c>
      <c r="D423" s="5"/>
      <c r="E423" s="6" t="s">
        <v>1731</v>
      </c>
      <c r="F423" s="6" t="s">
        <v>1996</v>
      </c>
      <c r="G423" s="5" t="s">
        <v>1996</v>
      </c>
      <c r="H423" s="7">
        <v>10</v>
      </c>
      <c r="I423" s="7">
        <v>89.49</v>
      </c>
      <c r="J423" s="7" t="s">
        <v>58</v>
      </c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 t="s">
        <v>59</v>
      </c>
      <c r="V423" s="7" t="s">
        <v>101</v>
      </c>
      <c r="W423" s="7" t="s">
        <v>61</v>
      </c>
      <c r="X423" s="5" t="str">
        <f ca="1">IF(INDIRECT("W423")="Clássico","13%",IF(INDIRECT("W423")="Premium","17%","-"))</f>
        <v>13%</v>
      </c>
      <c r="Y423" s="7" t="s">
        <v>62</v>
      </c>
    </row>
    <row r="424" spans="1:25" ht="50" customHeight="1" x14ac:dyDescent="0.25">
      <c r="A424" s="5" t="s">
        <v>1997</v>
      </c>
      <c r="B424" s="5" t="s">
        <v>1998</v>
      </c>
      <c r="C424" s="5" t="s">
        <v>1999</v>
      </c>
      <c r="D424" s="5"/>
      <c r="E424" s="6" t="s">
        <v>2000</v>
      </c>
      <c r="F424" s="6" t="s">
        <v>2001</v>
      </c>
      <c r="G424" s="5" t="s">
        <v>2001</v>
      </c>
      <c r="H424" s="7">
        <v>16</v>
      </c>
      <c r="I424" s="7">
        <v>178.9</v>
      </c>
      <c r="J424" s="7" t="s">
        <v>58</v>
      </c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5" t="s">
        <v>59</v>
      </c>
      <c r="V424" s="7" t="s">
        <v>129</v>
      </c>
      <c r="W424" s="7" t="s">
        <v>84</v>
      </c>
      <c r="X424" s="5" t="str">
        <f ca="1">IF(INDIRECT("W424")="Clássico","14%",IF(INDIRECT("W424")="Premium","19%","-"))</f>
        <v>19%</v>
      </c>
      <c r="Y424" s="7" t="s">
        <v>62</v>
      </c>
    </row>
    <row r="425" spans="1:25" ht="50" customHeight="1" x14ac:dyDescent="0.25">
      <c r="A425" s="5" t="s">
        <v>2002</v>
      </c>
      <c r="B425" s="5" t="s">
        <v>2003</v>
      </c>
      <c r="C425" s="5" t="s">
        <v>2004</v>
      </c>
      <c r="D425" s="5"/>
      <c r="E425" s="6" t="s">
        <v>2005</v>
      </c>
      <c r="F425" s="6" t="s">
        <v>2006</v>
      </c>
      <c r="G425" s="5" t="s">
        <v>2006</v>
      </c>
      <c r="H425" s="7">
        <v>12</v>
      </c>
      <c r="I425" s="7">
        <v>30.49</v>
      </c>
      <c r="J425" s="7" t="s">
        <v>58</v>
      </c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 t="s">
        <v>59</v>
      </c>
      <c r="V425" s="7" t="s">
        <v>60</v>
      </c>
      <c r="W425" s="7" t="s">
        <v>61</v>
      </c>
      <c r="X425" s="5" t="str">
        <f ca="1">IF(INDIRECT("W425")="Clássico","14%",IF(INDIRECT("W425")="Premium","19%","-"))</f>
        <v>14%</v>
      </c>
      <c r="Y425" s="7" t="s">
        <v>62</v>
      </c>
    </row>
    <row r="426" spans="1:25" ht="50" customHeight="1" x14ac:dyDescent="0.25">
      <c r="A426" s="5" t="s">
        <v>2007</v>
      </c>
      <c r="B426" s="5" t="s">
        <v>2008</v>
      </c>
      <c r="C426" s="5" t="s">
        <v>2009</v>
      </c>
      <c r="D426" s="5"/>
      <c r="E426" s="6" t="s">
        <v>2010</v>
      </c>
      <c r="F426" s="6" t="s">
        <v>2011</v>
      </c>
      <c r="G426" s="5" t="s">
        <v>2011</v>
      </c>
      <c r="H426" s="7">
        <v>24</v>
      </c>
      <c r="I426" s="7">
        <v>26.49</v>
      </c>
      <c r="J426" s="7" t="s">
        <v>58</v>
      </c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 t="s">
        <v>59</v>
      </c>
      <c r="V426" s="7" t="s">
        <v>101</v>
      </c>
      <c r="W426" s="7" t="s">
        <v>61</v>
      </c>
      <c r="X426" s="5" t="str">
        <f ca="1">IF(INDIRECT("W426")="Clássico","13%",IF(INDIRECT("W426")="Premium","17%","-"))</f>
        <v>13%</v>
      </c>
      <c r="Y426" s="7" t="s">
        <v>62</v>
      </c>
    </row>
    <row r="427" spans="1:25" ht="50" customHeight="1" x14ac:dyDescent="0.25">
      <c r="A427" s="5" t="s">
        <v>2012</v>
      </c>
      <c r="B427" s="5" t="s">
        <v>2013</v>
      </c>
      <c r="C427" s="5" t="s">
        <v>2014</v>
      </c>
      <c r="D427" s="5"/>
      <c r="E427" s="6" t="s">
        <v>2015</v>
      </c>
      <c r="F427" s="6" t="s">
        <v>2016</v>
      </c>
      <c r="G427" s="5" t="s">
        <v>2016</v>
      </c>
      <c r="H427" s="7">
        <v>24</v>
      </c>
      <c r="I427" s="7">
        <v>37.49</v>
      </c>
      <c r="J427" s="7" t="s">
        <v>58</v>
      </c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 t="s">
        <v>59</v>
      </c>
      <c r="V427" s="7" t="s">
        <v>60</v>
      </c>
      <c r="W427" s="7" t="s">
        <v>61</v>
      </c>
      <c r="X427" s="5" t="str">
        <f ca="1">IF(INDIRECT("W427")="Clássico","13%",IF(INDIRECT("W427")="Premium","17%","-"))</f>
        <v>13%</v>
      </c>
      <c r="Y427" s="7" t="s">
        <v>62</v>
      </c>
    </row>
    <row r="428" spans="1:25" ht="50" customHeight="1" x14ac:dyDescent="0.25">
      <c r="A428" s="5" t="s">
        <v>2017</v>
      </c>
      <c r="B428" s="5" t="s">
        <v>2018</v>
      </c>
      <c r="C428" s="5" t="s">
        <v>2019</v>
      </c>
      <c r="D428" s="5"/>
      <c r="E428" s="6" t="s">
        <v>2020</v>
      </c>
      <c r="F428" s="6" t="s">
        <v>2021</v>
      </c>
      <c r="G428" s="5" t="s">
        <v>2021</v>
      </c>
      <c r="H428" s="7">
        <v>10</v>
      </c>
      <c r="I428" s="7">
        <v>679.49</v>
      </c>
      <c r="J428" s="7" t="s">
        <v>58</v>
      </c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5" t="s">
        <v>59</v>
      </c>
      <c r="V428" s="7" t="s">
        <v>129</v>
      </c>
      <c r="W428" s="7" t="s">
        <v>84</v>
      </c>
      <c r="X428" s="5" t="str">
        <f ca="1">IF(INDIRECT("W428")="Clássico","14%",IF(INDIRECT("W428")="Premium","19%","-"))</f>
        <v>19%</v>
      </c>
      <c r="Y428" s="7" t="s">
        <v>62</v>
      </c>
    </row>
    <row r="429" spans="1:25" ht="50" customHeight="1" x14ac:dyDescent="0.25">
      <c r="A429" s="5" t="s">
        <v>2022</v>
      </c>
      <c r="B429" s="5" t="s">
        <v>2023</v>
      </c>
      <c r="C429" s="5" t="s">
        <v>2024</v>
      </c>
      <c r="D429" s="5"/>
      <c r="E429" s="6" t="s">
        <v>2025</v>
      </c>
      <c r="F429" s="6" t="s">
        <v>2026</v>
      </c>
      <c r="G429" s="5" t="s">
        <v>2026</v>
      </c>
      <c r="H429" s="7">
        <v>6</v>
      </c>
      <c r="I429" s="7">
        <v>26.49</v>
      </c>
      <c r="J429" s="7" t="s">
        <v>58</v>
      </c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 t="s">
        <v>59</v>
      </c>
      <c r="V429" s="7" t="s">
        <v>60</v>
      </c>
      <c r="W429" s="7" t="s">
        <v>61</v>
      </c>
      <c r="X429" s="5" t="str">
        <f ca="1">IF(INDIRECT("W429")="Clássico","13%",IF(INDIRECT("W429")="Premium","17%","-"))</f>
        <v>13%</v>
      </c>
      <c r="Y429" s="7" t="s">
        <v>62</v>
      </c>
    </row>
    <row r="430" spans="1:25" ht="50" customHeight="1" x14ac:dyDescent="0.25">
      <c r="A430" s="5" t="s">
        <v>515</v>
      </c>
      <c r="B430" s="5" t="s">
        <v>2027</v>
      </c>
      <c r="C430" s="5" t="s">
        <v>2028</v>
      </c>
      <c r="D430" s="5"/>
      <c r="E430" s="6" t="s">
        <v>2029</v>
      </c>
      <c r="F430" s="6" t="s">
        <v>519</v>
      </c>
      <c r="G430" s="5" t="s">
        <v>519</v>
      </c>
      <c r="H430" s="7">
        <v>12</v>
      </c>
      <c r="I430" s="7">
        <v>30.49</v>
      </c>
      <c r="J430" s="7" t="s">
        <v>58</v>
      </c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 t="s">
        <v>59</v>
      </c>
      <c r="V430" s="7" t="s">
        <v>60</v>
      </c>
      <c r="W430" s="7" t="s">
        <v>61</v>
      </c>
      <c r="X430" s="5" t="str">
        <f ca="1">IF(INDIRECT("W430")="Clássico","13%",IF(INDIRECT("W430")="Premium","17%","-"))</f>
        <v>13%</v>
      </c>
      <c r="Y430" s="7" t="s">
        <v>62</v>
      </c>
    </row>
    <row r="431" spans="1:25" ht="50" customHeight="1" x14ac:dyDescent="0.25">
      <c r="A431" s="5" t="s">
        <v>2030</v>
      </c>
      <c r="B431" s="5" t="s">
        <v>2031</v>
      </c>
      <c r="C431" s="5" t="s">
        <v>2032</v>
      </c>
      <c r="D431" s="5"/>
      <c r="E431" s="6" t="s">
        <v>2033</v>
      </c>
      <c r="F431" s="6" t="s">
        <v>2034</v>
      </c>
      <c r="G431" s="5" t="s">
        <v>2034</v>
      </c>
      <c r="H431" s="7">
        <v>4</v>
      </c>
      <c r="I431" s="7">
        <v>37.49</v>
      </c>
      <c r="J431" s="7" t="s">
        <v>58</v>
      </c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 t="s">
        <v>59</v>
      </c>
      <c r="V431" s="7" t="s">
        <v>60</v>
      </c>
      <c r="W431" s="7" t="s">
        <v>61</v>
      </c>
      <c r="X431" s="5" t="str">
        <f ca="1">IF(INDIRECT("W431")="Clássico","13%",IF(INDIRECT("W431")="Premium","17%","-"))</f>
        <v>13%</v>
      </c>
      <c r="Y431" s="7" t="s">
        <v>62</v>
      </c>
    </row>
    <row r="432" spans="1:25" ht="50" customHeight="1" x14ac:dyDescent="0.25">
      <c r="A432" s="5" t="s">
        <v>1317</v>
      </c>
      <c r="B432" s="5" t="s">
        <v>2035</v>
      </c>
      <c r="C432" s="5" t="s">
        <v>1319</v>
      </c>
      <c r="D432" s="5"/>
      <c r="E432" s="6" t="s">
        <v>1320</v>
      </c>
      <c r="F432" s="6" t="s">
        <v>2036</v>
      </c>
      <c r="G432" s="5" t="s">
        <v>2036</v>
      </c>
      <c r="H432" s="7">
        <v>6</v>
      </c>
      <c r="I432" s="7">
        <v>43.38</v>
      </c>
      <c r="J432" s="7" t="s">
        <v>58</v>
      </c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 t="s">
        <v>59</v>
      </c>
      <c r="V432" s="7" t="s">
        <v>60</v>
      </c>
      <c r="W432" s="7" t="s">
        <v>61</v>
      </c>
      <c r="X432" s="5" t="str">
        <f ca="1">IF(INDIRECT("W432")="Clássico","14%",IF(INDIRECT("W432")="Premium","19%","-"))</f>
        <v>14%</v>
      </c>
      <c r="Y432" s="7" t="s">
        <v>62</v>
      </c>
    </row>
    <row r="433" spans="1:25" ht="50" customHeight="1" x14ac:dyDescent="0.25">
      <c r="A433" s="5" t="s">
        <v>2037</v>
      </c>
      <c r="B433" s="5" t="s">
        <v>2038</v>
      </c>
      <c r="C433" s="5" t="s">
        <v>2039</v>
      </c>
      <c r="D433" s="5"/>
      <c r="E433" s="6" t="s">
        <v>2040</v>
      </c>
      <c r="F433" s="6" t="s">
        <v>2041</v>
      </c>
      <c r="G433" s="5" t="s">
        <v>2041</v>
      </c>
      <c r="H433" s="7">
        <v>12</v>
      </c>
      <c r="I433" s="7">
        <v>30.49</v>
      </c>
      <c r="J433" s="7" t="s">
        <v>58</v>
      </c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 t="s">
        <v>59</v>
      </c>
      <c r="V433" s="7" t="s">
        <v>101</v>
      </c>
      <c r="W433" s="7" t="s">
        <v>61</v>
      </c>
      <c r="X433" s="5" t="str">
        <f ca="1">IF(INDIRECT("W433")="Clássico","13%",IF(INDIRECT("W433")="Premium","17%","-"))</f>
        <v>13%</v>
      </c>
      <c r="Y433" s="7" t="s">
        <v>62</v>
      </c>
    </row>
    <row r="434" spans="1:25" ht="50" customHeight="1" x14ac:dyDescent="0.25">
      <c r="A434" s="5" t="s">
        <v>2042</v>
      </c>
      <c r="B434" s="5" t="s">
        <v>2043</v>
      </c>
      <c r="C434" s="5" t="s">
        <v>2044</v>
      </c>
      <c r="D434" s="5"/>
      <c r="E434" s="6" t="s">
        <v>2045</v>
      </c>
      <c r="F434" s="6" t="s">
        <v>2046</v>
      </c>
      <c r="G434" s="5" t="s">
        <v>2046</v>
      </c>
      <c r="H434" s="7">
        <v>2</v>
      </c>
      <c r="I434" s="7">
        <v>23.49</v>
      </c>
      <c r="J434" s="7" t="s">
        <v>58</v>
      </c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 t="s">
        <v>59</v>
      </c>
      <c r="V434" s="7" t="s">
        <v>60</v>
      </c>
      <c r="W434" s="7" t="s">
        <v>61</v>
      </c>
      <c r="X434" s="5" t="str">
        <f ca="1">IF(INDIRECT("W434")="Clássico","13%",IF(INDIRECT("W434")="Premium","17%","-"))</f>
        <v>13%</v>
      </c>
      <c r="Y434" s="7" t="s">
        <v>62</v>
      </c>
    </row>
    <row r="435" spans="1:25" ht="50" customHeight="1" x14ac:dyDescent="0.25">
      <c r="A435" s="5" t="s">
        <v>1511</v>
      </c>
      <c r="B435" s="5" t="s">
        <v>2047</v>
      </c>
      <c r="C435" s="5" t="s">
        <v>2048</v>
      </c>
      <c r="D435" s="5"/>
      <c r="E435" s="6" t="s">
        <v>1514</v>
      </c>
      <c r="F435" s="6" t="s">
        <v>2049</v>
      </c>
      <c r="G435" s="5" t="s">
        <v>2049</v>
      </c>
      <c r="H435" s="7">
        <v>12</v>
      </c>
      <c r="I435" s="7">
        <v>52.99</v>
      </c>
      <c r="J435" s="7" t="s">
        <v>58</v>
      </c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 t="s">
        <v>59</v>
      </c>
      <c r="V435" s="7" t="s">
        <v>101</v>
      </c>
      <c r="W435" s="7" t="s">
        <v>61</v>
      </c>
      <c r="X435" s="5" t="str">
        <f ca="1">IF(INDIRECT("W435")="Clássico","13%",IF(INDIRECT("W435")="Premium","17%","-"))</f>
        <v>13%</v>
      </c>
      <c r="Y435" s="7" t="s">
        <v>62</v>
      </c>
    </row>
    <row r="436" spans="1:25" ht="50" customHeight="1" x14ac:dyDescent="0.25">
      <c r="A436" s="5" t="s">
        <v>1745</v>
      </c>
      <c r="B436" s="5" t="s">
        <v>2050</v>
      </c>
      <c r="C436" s="5" t="s">
        <v>2051</v>
      </c>
      <c r="D436" s="5"/>
      <c r="E436" s="6" t="s">
        <v>1748</v>
      </c>
      <c r="F436" s="6" t="s">
        <v>2052</v>
      </c>
      <c r="G436" s="5" t="s">
        <v>2052</v>
      </c>
      <c r="H436" s="7">
        <v>69</v>
      </c>
      <c r="I436" s="7">
        <v>14.49</v>
      </c>
      <c r="J436" s="7" t="s">
        <v>58</v>
      </c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 t="s">
        <v>59</v>
      </c>
      <c r="V436" s="7" t="s">
        <v>60</v>
      </c>
      <c r="W436" s="7" t="s">
        <v>61</v>
      </c>
      <c r="X436" s="5" t="str">
        <f ca="1">IF(INDIRECT("W436")="Clássico","13%",IF(INDIRECT("W436")="Premium","17%","-"))</f>
        <v>13%</v>
      </c>
      <c r="Y436" s="7" t="s">
        <v>62</v>
      </c>
    </row>
    <row r="437" spans="1:25" ht="50" customHeight="1" x14ac:dyDescent="0.25">
      <c r="A437" s="5" t="s">
        <v>2053</v>
      </c>
      <c r="B437" s="5" t="s">
        <v>2054</v>
      </c>
      <c r="C437" s="5" t="s">
        <v>2055</v>
      </c>
      <c r="D437" s="5"/>
      <c r="E437" s="6" t="s">
        <v>2056</v>
      </c>
      <c r="F437" s="6" t="s">
        <v>2057</v>
      </c>
      <c r="G437" s="5" t="s">
        <v>2057</v>
      </c>
      <c r="H437" s="7">
        <v>10</v>
      </c>
      <c r="I437" s="7">
        <v>28.9</v>
      </c>
      <c r="J437" s="7" t="s">
        <v>58</v>
      </c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 t="s">
        <v>59</v>
      </c>
      <c r="V437" s="7" t="s">
        <v>60</v>
      </c>
      <c r="W437" s="7" t="s">
        <v>61</v>
      </c>
      <c r="X437" s="5" t="str">
        <f ca="1">IF(INDIRECT("W437")="Clássico","13%",IF(INDIRECT("W437")="Premium","17%","-"))</f>
        <v>13%</v>
      </c>
      <c r="Y437" s="7" t="s">
        <v>62</v>
      </c>
    </row>
    <row r="438" spans="1:25" ht="50" customHeight="1" x14ac:dyDescent="0.25">
      <c r="A438" s="5" t="s">
        <v>2058</v>
      </c>
      <c r="B438" s="5" t="s">
        <v>2059</v>
      </c>
      <c r="C438" s="5" t="s">
        <v>2060</v>
      </c>
      <c r="D438" s="5"/>
      <c r="E438" s="6" t="s">
        <v>2061</v>
      </c>
      <c r="F438" s="6" t="s">
        <v>2062</v>
      </c>
      <c r="G438" s="5" t="s">
        <v>2062</v>
      </c>
      <c r="H438" s="7">
        <v>2</v>
      </c>
      <c r="I438" s="7">
        <v>33.49</v>
      </c>
      <c r="J438" s="7" t="s">
        <v>58</v>
      </c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 t="s">
        <v>59</v>
      </c>
      <c r="V438" s="7" t="s">
        <v>60</v>
      </c>
      <c r="W438" s="7" t="s">
        <v>61</v>
      </c>
      <c r="X438" s="5" t="str">
        <f ca="1">IF(INDIRECT("W438")="Clássico","13%",IF(INDIRECT("W438")="Premium","17%","-"))</f>
        <v>13%</v>
      </c>
      <c r="Y438" s="7" t="s">
        <v>62</v>
      </c>
    </row>
    <row r="439" spans="1:25" ht="50" customHeight="1" x14ac:dyDescent="0.25">
      <c r="A439" s="5" t="s">
        <v>2063</v>
      </c>
      <c r="B439" s="5" t="s">
        <v>2064</v>
      </c>
      <c r="C439" s="5" t="s">
        <v>2065</v>
      </c>
      <c r="D439" s="5"/>
      <c r="E439" s="6" t="s">
        <v>2066</v>
      </c>
      <c r="F439" s="6" t="s">
        <v>2067</v>
      </c>
      <c r="G439" s="5" t="s">
        <v>2067</v>
      </c>
      <c r="H439" s="7">
        <v>2</v>
      </c>
      <c r="I439" s="7">
        <v>33.49</v>
      </c>
      <c r="J439" s="7" t="s">
        <v>58</v>
      </c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 t="s">
        <v>59</v>
      </c>
      <c r="V439" s="7" t="s">
        <v>60</v>
      </c>
      <c r="W439" s="7" t="s">
        <v>61</v>
      </c>
      <c r="X439" s="5" t="str">
        <f ca="1">IF(INDIRECT("W439")="Clássico","13%",IF(INDIRECT("W439")="Premium","17%","-"))</f>
        <v>13%</v>
      </c>
      <c r="Y439" s="7" t="s">
        <v>62</v>
      </c>
    </row>
    <row r="440" spans="1:25" ht="50" customHeight="1" x14ac:dyDescent="0.25">
      <c r="A440" s="5" t="s">
        <v>1337</v>
      </c>
      <c r="B440" s="5" t="s">
        <v>2068</v>
      </c>
      <c r="C440" s="5" t="s">
        <v>1339</v>
      </c>
      <c r="D440" s="5"/>
      <c r="E440" s="6" t="s">
        <v>1340</v>
      </c>
      <c r="F440" s="6" t="s">
        <v>2069</v>
      </c>
      <c r="G440" s="5" t="s">
        <v>2069</v>
      </c>
      <c r="H440" s="7">
        <v>10</v>
      </c>
      <c r="I440" s="7">
        <v>93.9</v>
      </c>
      <c r="J440" s="7" t="s">
        <v>58</v>
      </c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 t="s">
        <v>59</v>
      </c>
      <c r="V440" s="7" t="s">
        <v>129</v>
      </c>
      <c r="W440" s="7" t="s">
        <v>84</v>
      </c>
      <c r="X440" s="5" t="str">
        <f ca="1">IF(INDIRECT("W440")="Clássico","14%",IF(INDIRECT("W440")="Premium","19%","-"))</f>
        <v>19%</v>
      </c>
      <c r="Y440" s="7" t="s">
        <v>62</v>
      </c>
    </row>
    <row r="441" spans="1:25" ht="50" customHeight="1" x14ac:dyDescent="0.25">
      <c r="A441" s="5" t="s">
        <v>2070</v>
      </c>
      <c r="B441" s="5" t="s">
        <v>2071</v>
      </c>
      <c r="C441" s="5" t="s">
        <v>2072</v>
      </c>
      <c r="D441" s="5"/>
      <c r="E441" s="6" t="s">
        <v>2073</v>
      </c>
      <c r="F441" s="6" t="s">
        <v>2074</v>
      </c>
      <c r="G441" s="5" t="s">
        <v>2074</v>
      </c>
      <c r="H441" s="7">
        <v>12</v>
      </c>
      <c r="I441" s="7">
        <v>30.49</v>
      </c>
      <c r="J441" s="7" t="s">
        <v>58</v>
      </c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 t="s">
        <v>59</v>
      </c>
      <c r="V441" s="7" t="s">
        <v>101</v>
      </c>
      <c r="W441" s="7" t="s">
        <v>61</v>
      </c>
      <c r="X441" s="5" t="str">
        <f ca="1">IF(INDIRECT("W441")="Clássico","13%",IF(INDIRECT("W441")="Premium","17%","-"))</f>
        <v>13%</v>
      </c>
      <c r="Y441" s="7" t="s">
        <v>62</v>
      </c>
    </row>
    <row r="442" spans="1:25" ht="50" customHeight="1" x14ac:dyDescent="0.25">
      <c r="A442" s="5" t="s">
        <v>2075</v>
      </c>
      <c r="B442" s="5" t="s">
        <v>2076</v>
      </c>
      <c r="C442" s="5" t="s">
        <v>2077</v>
      </c>
      <c r="D442" s="5"/>
      <c r="E442" s="6" t="s">
        <v>2078</v>
      </c>
      <c r="F442" s="6" t="s">
        <v>2079</v>
      </c>
      <c r="G442" s="5" t="s">
        <v>2079</v>
      </c>
      <c r="H442" s="7">
        <v>9</v>
      </c>
      <c r="I442" s="7">
        <v>37.49</v>
      </c>
      <c r="J442" s="7" t="s">
        <v>58</v>
      </c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 t="s">
        <v>59</v>
      </c>
      <c r="V442" s="7" t="s">
        <v>60</v>
      </c>
      <c r="W442" s="7" t="s">
        <v>61</v>
      </c>
      <c r="X442" s="5" t="str">
        <f ca="1">IF(INDIRECT("W442")="Clássico","13%",IF(INDIRECT("W442")="Premium","17%","-"))</f>
        <v>13%</v>
      </c>
      <c r="Y442" s="7" t="s">
        <v>62</v>
      </c>
    </row>
    <row r="443" spans="1:25" ht="50" customHeight="1" x14ac:dyDescent="0.25">
      <c r="A443" s="5" t="s">
        <v>2080</v>
      </c>
      <c r="B443" s="5" t="s">
        <v>2081</v>
      </c>
      <c r="C443" s="5" t="s">
        <v>2082</v>
      </c>
      <c r="D443" s="5"/>
      <c r="E443" s="6" t="s">
        <v>2083</v>
      </c>
      <c r="F443" s="6" t="s">
        <v>2084</v>
      </c>
      <c r="G443" s="5" t="s">
        <v>653</v>
      </c>
      <c r="H443" s="7">
        <v>60</v>
      </c>
      <c r="I443" s="7">
        <v>37.49</v>
      </c>
      <c r="J443" s="7" t="s">
        <v>58</v>
      </c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 t="s">
        <v>59</v>
      </c>
      <c r="V443" s="7" t="s">
        <v>60</v>
      </c>
      <c r="W443" s="7" t="s">
        <v>84</v>
      </c>
      <c r="X443" s="5" t="str">
        <f ca="1">IF(INDIRECT("W443")="Clássico","13%",IF(INDIRECT("W443")="Premium","17%","-"))</f>
        <v>17%</v>
      </c>
      <c r="Y443" s="7" t="s">
        <v>62</v>
      </c>
    </row>
    <row r="444" spans="1:25" ht="50" customHeight="1" x14ac:dyDescent="0.25">
      <c r="A444" s="5" t="s">
        <v>1342</v>
      </c>
      <c r="B444" s="5" t="s">
        <v>2085</v>
      </c>
      <c r="C444" s="5" t="s">
        <v>1344</v>
      </c>
      <c r="D444" s="5"/>
      <c r="E444" s="6" t="s">
        <v>1345</v>
      </c>
      <c r="F444" s="6" t="s">
        <v>1346</v>
      </c>
      <c r="G444" s="5" t="s">
        <v>1346</v>
      </c>
      <c r="H444" s="7">
        <v>2</v>
      </c>
      <c r="I444" s="7">
        <v>33.49</v>
      </c>
      <c r="J444" s="7" t="s">
        <v>58</v>
      </c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 t="s">
        <v>59</v>
      </c>
      <c r="V444" s="7" t="s">
        <v>60</v>
      </c>
      <c r="W444" s="7" t="s">
        <v>61</v>
      </c>
      <c r="X444" s="5" t="str">
        <f ca="1">IF(INDIRECT("W444")="Clássico","13%",IF(INDIRECT("W444")="Premium","17%","-"))</f>
        <v>13%</v>
      </c>
      <c r="Y444" s="7" t="s">
        <v>62</v>
      </c>
    </row>
    <row r="445" spans="1:25" ht="50" customHeight="1" x14ac:dyDescent="0.25">
      <c r="A445" s="5" t="s">
        <v>2086</v>
      </c>
      <c r="B445" s="5" t="s">
        <v>2087</v>
      </c>
      <c r="C445" s="5" t="s">
        <v>2088</v>
      </c>
      <c r="D445" s="5"/>
      <c r="E445" s="6" t="s">
        <v>2089</v>
      </c>
      <c r="F445" s="6" t="s">
        <v>2090</v>
      </c>
      <c r="G445" s="5" t="s">
        <v>1993</v>
      </c>
      <c r="H445" s="7">
        <v>24</v>
      </c>
      <c r="I445" s="7">
        <v>20.49</v>
      </c>
      <c r="J445" s="7" t="s">
        <v>58</v>
      </c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 t="s">
        <v>59</v>
      </c>
      <c r="V445" s="7" t="s">
        <v>60</v>
      </c>
      <c r="W445" s="7" t="s">
        <v>61</v>
      </c>
      <c r="X445" s="5" t="str">
        <f ca="1">IF(INDIRECT("W445")="Clássico","13%",IF(INDIRECT("W445")="Premium","17%","-"))</f>
        <v>13%</v>
      </c>
      <c r="Y445" s="7" t="s">
        <v>62</v>
      </c>
    </row>
    <row r="446" spans="1:25" ht="50" customHeight="1" x14ac:dyDescent="0.25">
      <c r="A446" s="5" t="s">
        <v>2091</v>
      </c>
      <c r="B446" s="5" t="s">
        <v>2092</v>
      </c>
      <c r="C446" s="5" t="s">
        <v>2093</v>
      </c>
      <c r="D446" s="5"/>
      <c r="E446" s="6" t="s">
        <v>2094</v>
      </c>
      <c r="F446" s="6" t="s">
        <v>2095</v>
      </c>
      <c r="G446" s="5" t="s">
        <v>2095</v>
      </c>
      <c r="H446" s="7">
        <v>10</v>
      </c>
      <c r="I446" s="7">
        <v>20.49</v>
      </c>
      <c r="J446" s="7" t="s">
        <v>58</v>
      </c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 t="s">
        <v>59</v>
      </c>
      <c r="V446" s="7" t="s">
        <v>60</v>
      </c>
      <c r="W446" s="7" t="s">
        <v>61</v>
      </c>
      <c r="X446" s="5" t="str">
        <f ca="1">IF(INDIRECT("W446")="Clássico","13%",IF(INDIRECT("W446")="Premium","17%","-"))</f>
        <v>13%</v>
      </c>
      <c r="Y446" s="7" t="s">
        <v>62</v>
      </c>
    </row>
    <row r="447" spans="1:25" ht="50" customHeight="1" x14ac:dyDescent="0.25">
      <c r="A447" s="5" t="s">
        <v>1347</v>
      </c>
      <c r="B447" s="5" t="s">
        <v>2096</v>
      </c>
      <c r="C447" s="5" t="s">
        <v>1349</v>
      </c>
      <c r="D447" s="5"/>
      <c r="E447" s="6" t="s">
        <v>1350</v>
      </c>
      <c r="F447" s="6" t="s">
        <v>2097</v>
      </c>
      <c r="G447" s="5" t="s">
        <v>2097</v>
      </c>
      <c r="H447" s="7">
        <v>90</v>
      </c>
      <c r="I447" s="7">
        <v>32.49</v>
      </c>
      <c r="J447" s="7" t="s">
        <v>58</v>
      </c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 t="s">
        <v>59</v>
      </c>
      <c r="V447" s="7" t="s">
        <v>60</v>
      </c>
      <c r="W447" s="7" t="s">
        <v>61</v>
      </c>
      <c r="X447" s="5" t="str">
        <f ca="1">IF(INDIRECT("W447")="Clássico","14%",IF(INDIRECT("W447")="Premium","19%","-"))</f>
        <v>14%</v>
      </c>
      <c r="Y447" s="7" t="s">
        <v>62</v>
      </c>
    </row>
    <row r="448" spans="1:25" ht="50" customHeight="1" x14ac:dyDescent="0.25">
      <c r="A448" s="5" t="s">
        <v>1358</v>
      </c>
      <c r="B448" s="5" t="s">
        <v>2098</v>
      </c>
      <c r="C448" s="5" t="s">
        <v>1360</v>
      </c>
      <c r="D448" s="5"/>
      <c r="E448" s="6" t="s">
        <v>1361</v>
      </c>
      <c r="F448" s="6" t="s">
        <v>2099</v>
      </c>
      <c r="G448" s="5" t="s">
        <v>2099</v>
      </c>
      <c r="H448" s="7">
        <v>3</v>
      </c>
      <c r="I448" s="7">
        <v>85.49</v>
      </c>
      <c r="J448" s="7" t="s">
        <v>58</v>
      </c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 t="s">
        <v>59</v>
      </c>
      <c r="V448" s="7" t="s">
        <v>129</v>
      </c>
      <c r="W448" s="7" t="s">
        <v>61</v>
      </c>
      <c r="X448" s="5" t="str">
        <f ca="1">IF(INDIRECT("W448")="Clássico","14%",IF(INDIRECT("W448")="Premium","19%","-"))</f>
        <v>14%</v>
      </c>
      <c r="Y448" s="7" t="s">
        <v>62</v>
      </c>
    </row>
    <row r="449" spans="1:25" ht="50" customHeight="1" x14ac:dyDescent="0.25">
      <c r="A449" s="5" t="s">
        <v>2100</v>
      </c>
      <c r="B449" s="5" t="s">
        <v>2101</v>
      </c>
      <c r="C449" s="5" t="s">
        <v>2102</v>
      </c>
      <c r="D449" s="5"/>
      <c r="E449" s="6" t="s">
        <v>2103</v>
      </c>
      <c r="F449" s="6" t="s">
        <v>2104</v>
      </c>
      <c r="G449" s="5" t="s">
        <v>2104</v>
      </c>
      <c r="H449" s="7">
        <v>23</v>
      </c>
      <c r="I449" s="7">
        <v>20.49</v>
      </c>
      <c r="J449" s="7" t="s">
        <v>58</v>
      </c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 t="s">
        <v>59</v>
      </c>
      <c r="V449" s="7" t="s">
        <v>60</v>
      </c>
      <c r="W449" s="7" t="s">
        <v>61</v>
      </c>
      <c r="X449" s="5" t="str">
        <f ca="1">IF(INDIRECT("W449")="Clássico","13%",IF(INDIRECT("W449")="Premium","17%","-"))</f>
        <v>13%</v>
      </c>
      <c r="Y449" s="7" t="s">
        <v>62</v>
      </c>
    </row>
    <row r="450" spans="1:25" ht="50" customHeight="1" x14ac:dyDescent="0.25">
      <c r="A450" s="5" t="s">
        <v>2105</v>
      </c>
      <c r="B450" s="5" t="s">
        <v>2106</v>
      </c>
      <c r="C450" s="5" t="s">
        <v>2107</v>
      </c>
      <c r="D450" s="5"/>
      <c r="E450" s="6" t="s">
        <v>2108</v>
      </c>
      <c r="F450" s="6" t="s">
        <v>2109</v>
      </c>
      <c r="G450" s="5" t="s">
        <v>2109</v>
      </c>
      <c r="H450" s="7">
        <v>10</v>
      </c>
      <c r="I450" s="7">
        <v>30.49</v>
      </c>
      <c r="J450" s="7" t="s">
        <v>58</v>
      </c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 t="s">
        <v>59</v>
      </c>
      <c r="V450" s="7" t="s">
        <v>60</v>
      </c>
      <c r="W450" s="7" t="s">
        <v>61</v>
      </c>
      <c r="X450" s="5" t="str">
        <f ca="1">IF(INDIRECT("W450")="Clássico","13%",IF(INDIRECT("W450")="Premium","17%","-"))</f>
        <v>13%</v>
      </c>
      <c r="Y450" s="7" t="s">
        <v>62</v>
      </c>
    </row>
    <row r="451" spans="1:25" ht="50" customHeight="1" x14ac:dyDescent="0.25">
      <c r="A451" s="5" t="s">
        <v>2110</v>
      </c>
      <c r="B451" s="5" t="s">
        <v>2111</v>
      </c>
      <c r="C451" s="5" t="s">
        <v>2112</v>
      </c>
      <c r="D451" s="5"/>
      <c r="E451" s="6" t="s">
        <v>2113</v>
      </c>
      <c r="F451" s="6" t="s">
        <v>2114</v>
      </c>
      <c r="G451" s="5" t="s">
        <v>2114</v>
      </c>
      <c r="H451" s="7">
        <v>12</v>
      </c>
      <c r="I451" s="7">
        <v>30.49</v>
      </c>
      <c r="J451" s="7" t="s">
        <v>58</v>
      </c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 t="s">
        <v>59</v>
      </c>
      <c r="V451" s="7" t="s">
        <v>60</v>
      </c>
      <c r="W451" s="7" t="s">
        <v>61</v>
      </c>
      <c r="X451" s="5" t="str">
        <f ca="1">IF(INDIRECT("W451")="Clássico","13%",IF(INDIRECT("W451")="Premium","17%","-"))</f>
        <v>13%</v>
      </c>
      <c r="Y451" s="7" t="s">
        <v>62</v>
      </c>
    </row>
    <row r="452" spans="1:25" ht="50" customHeight="1" x14ac:dyDescent="0.25">
      <c r="A452" s="5" t="s">
        <v>2115</v>
      </c>
      <c r="B452" s="5" t="s">
        <v>2116</v>
      </c>
      <c r="C452" s="5" t="s">
        <v>2117</v>
      </c>
      <c r="D452" s="5"/>
      <c r="E452" s="6" t="s">
        <v>2118</v>
      </c>
      <c r="F452" s="6" t="s">
        <v>2119</v>
      </c>
      <c r="G452" s="5" t="s">
        <v>2119</v>
      </c>
      <c r="H452" s="7">
        <v>12</v>
      </c>
      <c r="I452" s="7">
        <v>30.49</v>
      </c>
      <c r="J452" s="7" t="s">
        <v>58</v>
      </c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 t="s">
        <v>59</v>
      </c>
      <c r="V452" s="7" t="s">
        <v>60</v>
      </c>
      <c r="W452" s="7" t="s">
        <v>61</v>
      </c>
      <c r="X452" s="5" t="str">
        <f ca="1">IF(INDIRECT("W452")="Clássico","13%",IF(INDIRECT("W452")="Premium","17%","-"))</f>
        <v>13%</v>
      </c>
      <c r="Y452" s="7" t="s">
        <v>62</v>
      </c>
    </row>
    <row r="453" spans="1:25" ht="50" customHeight="1" x14ac:dyDescent="0.25">
      <c r="A453" s="5" t="s">
        <v>2120</v>
      </c>
      <c r="B453" s="5" t="s">
        <v>2121</v>
      </c>
      <c r="C453" s="5" t="s">
        <v>2122</v>
      </c>
      <c r="D453" s="5"/>
      <c r="E453" s="6" t="s">
        <v>2123</v>
      </c>
      <c r="F453" s="6" t="s">
        <v>2124</v>
      </c>
      <c r="G453" s="5" t="s">
        <v>2124</v>
      </c>
      <c r="H453" s="7">
        <v>20</v>
      </c>
      <c r="I453" s="7">
        <v>20.49</v>
      </c>
      <c r="J453" s="7" t="s">
        <v>58</v>
      </c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 t="s">
        <v>59</v>
      </c>
      <c r="V453" s="7" t="s">
        <v>60</v>
      </c>
      <c r="W453" s="7" t="s">
        <v>61</v>
      </c>
      <c r="X453" s="5" t="str">
        <f ca="1">IF(INDIRECT("W453")="Clássico","13%",IF(INDIRECT("W453")="Premium","17%","-"))</f>
        <v>13%</v>
      </c>
      <c r="Y453" s="7" t="s">
        <v>62</v>
      </c>
    </row>
    <row r="454" spans="1:25" ht="50" customHeight="1" x14ac:dyDescent="0.25">
      <c r="A454" s="5" t="s">
        <v>2125</v>
      </c>
      <c r="B454" s="5" t="s">
        <v>2126</v>
      </c>
      <c r="C454" s="5" t="s">
        <v>2127</v>
      </c>
      <c r="D454" s="5"/>
      <c r="E454" s="6" t="s">
        <v>2128</v>
      </c>
      <c r="F454" s="6" t="s">
        <v>2129</v>
      </c>
      <c r="G454" s="5" t="s">
        <v>2129</v>
      </c>
      <c r="H454" s="7">
        <v>12</v>
      </c>
      <c r="I454" s="7">
        <v>20.49</v>
      </c>
      <c r="J454" s="7" t="s">
        <v>58</v>
      </c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 t="s">
        <v>59</v>
      </c>
      <c r="V454" s="7" t="s">
        <v>60</v>
      </c>
      <c r="W454" s="7" t="s">
        <v>61</v>
      </c>
      <c r="X454" s="5" t="str">
        <f ca="1">IF(INDIRECT("W454")="Clássico","13%",IF(INDIRECT("W454")="Premium","17%","-"))</f>
        <v>13%</v>
      </c>
      <c r="Y454" s="7" t="s">
        <v>62</v>
      </c>
    </row>
    <row r="455" spans="1:25" ht="50" customHeight="1" x14ac:dyDescent="0.25">
      <c r="A455" s="5" t="s">
        <v>2130</v>
      </c>
      <c r="B455" s="5" t="s">
        <v>2131</v>
      </c>
      <c r="C455" s="5" t="s">
        <v>2132</v>
      </c>
      <c r="D455" s="5"/>
      <c r="E455" s="6" t="s">
        <v>2133</v>
      </c>
      <c r="F455" s="6" t="s">
        <v>2134</v>
      </c>
      <c r="G455" s="5" t="s">
        <v>2134</v>
      </c>
      <c r="H455" s="7">
        <v>10</v>
      </c>
      <c r="I455" s="7">
        <v>20.49</v>
      </c>
      <c r="J455" s="7" t="s">
        <v>58</v>
      </c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 t="s">
        <v>59</v>
      </c>
      <c r="V455" s="7" t="s">
        <v>60</v>
      </c>
      <c r="W455" s="7" t="s">
        <v>61</v>
      </c>
      <c r="X455" s="5" t="str">
        <f ca="1">IF(INDIRECT("W455")="Clássico","13%",IF(INDIRECT("W455")="Premium","17%","-"))</f>
        <v>13%</v>
      </c>
      <c r="Y455" s="7" t="s">
        <v>62</v>
      </c>
    </row>
    <row r="456" spans="1:25" ht="50" customHeight="1" x14ac:dyDescent="0.25">
      <c r="A456" s="5" t="s">
        <v>2135</v>
      </c>
      <c r="B456" s="5" t="s">
        <v>2136</v>
      </c>
      <c r="C456" s="5" t="s">
        <v>2137</v>
      </c>
      <c r="D456" s="5"/>
      <c r="E456" s="6" t="s">
        <v>2138</v>
      </c>
      <c r="F456" s="6" t="s">
        <v>2139</v>
      </c>
      <c r="G456" s="5" t="s">
        <v>2139</v>
      </c>
      <c r="H456" s="7">
        <v>60</v>
      </c>
      <c r="I456" s="7">
        <v>28.49</v>
      </c>
      <c r="J456" s="7" t="s">
        <v>58</v>
      </c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 t="s">
        <v>59</v>
      </c>
      <c r="V456" s="7" t="s">
        <v>60</v>
      </c>
      <c r="W456" s="7" t="s">
        <v>61</v>
      </c>
      <c r="X456" s="5" t="str">
        <f ca="1">IF(INDIRECT("W456")="Clássico","13%",IF(INDIRECT("W456")="Premium","17%","-"))</f>
        <v>13%</v>
      </c>
      <c r="Y456" s="7" t="s">
        <v>62</v>
      </c>
    </row>
    <row r="457" spans="1:25" ht="50" customHeight="1" x14ac:dyDescent="0.25">
      <c r="A457" s="5" t="s">
        <v>2140</v>
      </c>
      <c r="B457" s="5" t="s">
        <v>2141</v>
      </c>
      <c r="C457" s="5" t="s">
        <v>2142</v>
      </c>
      <c r="D457" s="5"/>
      <c r="E457" s="6" t="s">
        <v>2143</v>
      </c>
      <c r="F457" s="6" t="s">
        <v>2144</v>
      </c>
      <c r="G457" s="5" t="s">
        <v>2144</v>
      </c>
      <c r="H457" s="7">
        <v>24</v>
      </c>
      <c r="I457" s="7">
        <v>26.49</v>
      </c>
      <c r="J457" s="7" t="s">
        <v>58</v>
      </c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 t="s">
        <v>59</v>
      </c>
      <c r="V457" s="7" t="s">
        <v>101</v>
      </c>
      <c r="W457" s="7" t="s">
        <v>61</v>
      </c>
      <c r="X457" s="5" t="str">
        <f ca="1">IF(INDIRECT("W457")="Clássico","13%",IF(INDIRECT("W457")="Premium","17%","-"))</f>
        <v>13%</v>
      </c>
      <c r="Y457" s="7" t="s">
        <v>62</v>
      </c>
    </row>
    <row r="458" spans="1:25" ht="50" customHeight="1" x14ac:dyDescent="0.25">
      <c r="A458" s="5" t="s">
        <v>2145</v>
      </c>
      <c r="B458" s="5" t="s">
        <v>2146</v>
      </c>
      <c r="C458" s="5" t="s">
        <v>2147</v>
      </c>
      <c r="D458" s="5"/>
      <c r="E458" s="6" t="s">
        <v>2148</v>
      </c>
      <c r="F458" s="6" t="s">
        <v>2149</v>
      </c>
      <c r="G458" s="5" t="s">
        <v>2149</v>
      </c>
      <c r="H458" s="7">
        <v>6</v>
      </c>
      <c r="I458" s="7">
        <v>26.49</v>
      </c>
      <c r="J458" s="7" t="s">
        <v>58</v>
      </c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 t="s">
        <v>59</v>
      </c>
      <c r="V458" s="7" t="s">
        <v>101</v>
      </c>
      <c r="W458" s="7" t="s">
        <v>61</v>
      </c>
      <c r="X458" s="5" t="str">
        <f ca="1">IF(INDIRECT("W458")="Clássico","13%",IF(INDIRECT("W458")="Premium","17%","-"))</f>
        <v>13%</v>
      </c>
      <c r="Y458" s="7" t="s">
        <v>62</v>
      </c>
    </row>
    <row r="459" spans="1:25" ht="50" customHeight="1" x14ac:dyDescent="0.25">
      <c r="A459" s="5" t="s">
        <v>2150</v>
      </c>
      <c r="B459" s="5" t="s">
        <v>2151</v>
      </c>
      <c r="C459" s="5" t="s">
        <v>2152</v>
      </c>
      <c r="D459" s="5"/>
      <c r="E459" s="6" t="s">
        <v>2153</v>
      </c>
      <c r="F459" s="6" t="s">
        <v>2154</v>
      </c>
      <c r="G459" s="5" t="s">
        <v>2154</v>
      </c>
      <c r="H459" s="7">
        <v>11</v>
      </c>
      <c r="I459" s="7">
        <v>26.49</v>
      </c>
      <c r="J459" s="7" t="s">
        <v>58</v>
      </c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 t="s">
        <v>59</v>
      </c>
      <c r="V459" s="7" t="s">
        <v>60</v>
      </c>
      <c r="W459" s="7" t="s">
        <v>61</v>
      </c>
      <c r="X459" s="5" t="str">
        <f ca="1">IF(INDIRECT("W459")="Clássico","13%",IF(INDIRECT("W459")="Premium","17%","-"))</f>
        <v>13%</v>
      </c>
      <c r="Y459" s="7" t="s">
        <v>62</v>
      </c>
    </row>
    <row r="460" spans="1:25" ht="50" customHeight="1" x14ac:dyDescent="0.25">
      <c r="A460" s="5" t="s">
        <v>2155</v>
      </c>
      <c r="B460" s="5" t="s">
        <v>2156</v>
      </c>
      <c r="C460" s="5" t="s">
        <v>2157</v>
      </c>
      <c r="D460" s="5"/>
      <c r="E460" s="6" t="s">
        <v>2158</v>
      </c>
      <c r="F460" s="6" t="s">
        <v>2159</v>
      </c>
      <c r="G460" s="5" t="s">
        <v>2159</v>
      </c>
      <c r="H460" s="7">
        <v>32</v>
      </c>
      <c r="I460" s="7">
        <v>20.49</v>
      </c>
      <c r="J460" s="7" t="s">
        <v>58</v>
      </c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 t="s">
        <v>59</v>
      </c>
      <c r="V460" s="7" t="s">
        <v>60</v>
      </c>
      <c r="W460" s="7" t="s">
        <v>61</v>
      </c>
      <c r="X460" s="5" t="str">
        <f ca="1">IF(INDIRECT("W460")="Clássico","13%",IF(INDIRECT("W460")="Premium","17%","-"))</f>
        <v>13%</v>
      </c>
      <c r="Y460" s="7" t="s">
        <v>62</v>
      </c>
    </row>
    <row r="461" spans="1:25" ht="50" customHeight="1" x14ac:dyDescent="0.25">
      <c r="A461" s="5" t="s">
        <v>2160</v>
      </c>
      <c r="B461" s="5" t="s">
        <v>2161</v>
      </c>
      <c r="C461" s="5" t="s">
        <v>2162</v>
      </c>
      <c r="D461" s="5"/>
      <c r="E461" s="6" t="s">
        <v>2163</v>
      </c>
      <c r="F461" s="6" t="s">
        <v>2164</v>
      </c>
      <c r="G461" s="5" t="s">
        <v>2164</v>
      </c>
      <c r="H461" s="7">
        <v>5</v>
      </c>
      <c r="I461" s="7">
        <v>20.49</v>
      </c>
      <c r="J461" s="7" t="s">
        <v>58</v>
      </c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 t="s">
        <v>59</v>
      </c>
      <c r="V461" s="7" t="s">
        <v>60</v>
      </c>
      <c r="W461" s="7" t="s">
        <v>61</v>
      </c>
      <c r="X461" s="5" t="str">
        <f ca="1">IF(INDIRECT("W461")="Clássico","13%",IF(INDIRECT("W461")="Premium","17%","-"))</f>
        <v>13%</v>
      </c>
      <c r="Y461" s="7" t="s">
        <v>62</v>
      </c>
    </row>
    <row r="462" spans="1:25" ht="50" customHeight="1" x14ac:dyDescent="0.25">
      <c r="A462" s="5" t="s">
        <v>2165</v>
      </c>
      <c r="B462" s="5" t="s">
        <v>2166</v>
      </c>
      <c r="C462" s="5" t="s">
        <v>2167</v>
      </c>
      <c r="D462" s="5"/>
      <c r="E462" s="6" t="s">
        <v>2168</v>
      </c>
      <c r="F462" s="6" t="s">
        <v>2169</v>
      </c>
      <c r="G462" s="5" t="s">
        <v>2169</v>
      </c>
      <c r="H462" s="7">
        <v>96</v>
      </c>
      <c r="I462" s="7">
        <v>22.49</v>
      </c>
      <c r="J462" s="7" t="s">
        <v>58</v>
      </c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 t="s">
        <v>59</v>
      </c>
      <c r="V462" s="7" t="s">
        <v>60</v>
      </c>
      <c r="W462" s="7" t="s">
        <v>61</v>
      </c>
      <c r="X462" s="5" t="str">
        <f ca="1">IF(INDIRECT("W462")="Clássico","13%",IF(INDIRECT("W462")="Premium","17%","-"))</f>
        <v>13%</v>
      </c>
      <c r="Y462" s="7" t="s">
        <v>62</v>
      </c>
    </row>
    <row r="463" spans="1:25" ht="50" customHeight="1" x14ac:dyDescent="0.25">
      <c r="A463" s="5" t="s">
        <v>2170</v>
      </c>
      <c r="B463" s="5" t="s">
        <v>2171</v>
      </c>
      <c r="C463" s="5" t="s">
        <v>2172</v>
      </c>
      <c r="D463" s="5"/>
      <c r="E463" s="6" t="s">
        <v>2173</v>
      </c>
      <c r="F463" s="6" t="s">
        <v>2174</v>
      </c>
      <c r="G463" s="5" t="s">
        <v>2174</v>
      </c>
      <c r="H463" s="7">
        <v>6</v>
      </c>
      <c r="I463" s="7">
        <v>168.49</v>
      </c>
      <c r="J463" s="7" t="s">
        <v>58</v>
      </c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 t="s">
        <v>59</v>
      </c>
      <c r="V463" s="7" t="s">
        <v>129</v>
      </c>
      <c r="W463" s="7" t="s">
        <v>84</v>
      </c>
      <c r="X463" s="5" t="str">
        <f ca="1">IF(INDIRECT("W463")="Clássico","13%",IF(INDIRECT("W463")="Premium","15%","-"))</f>
        <v>15%</v>
      </c>
      <c r="Y463" s="7" t="s">
        <v>62</v>
      </c>
    </row>
    <row r="464" spans="1:25" ht="50" customHeight="1" x14ac:dyDescent="0.25">
      <c r="A464" s="5" t="s">
        <v>2175</v>
      </c>
      <c r="B464" s="5" t="s">
        <v>2176</v>
      </c>
      <c r="C464" s="5" t="s">
        <v>2177</v>
      </c>
      <c r="D464" s="5"/>
      <c r="E464" s="6" t="s">
        <v>2178</v>
      </c>
      <c r="F464" s="6" t="s">
        <v>2179</v>
      </c>
      <c r="G464" s="5" t="s">
        <v>2180</v>
      </c>
      <c r="H464" s="7">
        <v>10</v>
      </c>
      <c r="I464" s="7">
        <v>25.25</v>
      </c>
      <c r="J464" s="7" t="s">
        <v>58</v>
      </c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 t="s">
        <v>59</v>
      </c>
      <c r="V464" s="7" t="s">
        <v>60</v>
      </c>
      <c r="W464" s="7" t="s">
        <v>61</v>
      </c>
      <c r="X464" s="5" t="str">
        <f ca="1">IF(INDIRECT("W464")="Clássico","13%",IF(INDIRECT("W464")="Premium","17%","-"))</f>
        <v>13%</v>
      </c>
      <c r="Y464" s="7" t="s">
        <v>62</v>
      </c>
    </row>
    <row r="465" spans="1:25" ht="50" customHeight="1" x14ac:dyDescent="0.25">
      <c r="A465" s="5" t="s">
        <v>1795</v>
      </c>
      <c r="B465" s="5" t="s">
        <v>2181</v>
      </c>
      <c r="C465" s="5" t="s">
        <v>1797</v>
      </c>
      <c r="D465" s="5"/>
      <c r="E465" s="6" t="s">
        <v>1798</v>
      </c>
      <c r="F465" s="6" t="s">
        <v>2182</v>
      </c>
      <c r="G465" s="5" t="s">
        <v>2182</v>
      </c>
      <c r="H465" s="7">
        <v>2</v>
      </c>
      <c r="I465" s="7">
        <v>26.49</v>
      </c>
      <c r="J465" s="7" t="s">
        <v>58</v>
      </c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 t="s">
        <v>59</v>
      </c>
      <c r="V465" s="7" t="s">
        <v>60</v>
      </c>
      <c r="W465" s="7" t="s">
        <v>61</v>
      </c>
      <c r="X465" s="5" t="str">
        <f ca="1">IF(INDIRECT("W465")="Clássico","13%",IF(INDIRECT("W465")="Premium","17%","-"))</f>
        <v>13%</v>
      </c>
      <c r="Y465" s="7" t="s">
        <v>62</v>
      </c>
    </row>
    <row r="466" spans="1:25" ht="50" customHeight="1" x14ac:dyDescent="0.25">
      <c r="A466" s="5" t="s">
        <v>2183</v>
      </c>
      <c r="B466" s="5" t="s">
        <v>2184</v>
      </c>
      <c r="C466" s="5" t="s">
        <v>2185</v>
      </c>
      <c r="D466" s="5"/>
      <c r="E466" s="6" t="s">
        <v>2186</v>
      </c>
      <c r="F466" s="6" t="s">
        <v>2187</v>
      </c>
      <c r="G466" s="5" t="s">
        <v>2187</v>
      </c>
      <c r="H466" s="7">
        <v>33</v>
      </c>
      <c r="I466" s="7">
        <v>26.49</v>
      </c>
      <c r="J466" s="7" t="s">
        <v>58</v>
      </c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 t="s">
        <v>59</v>
      </c>
      <c r="V466" s="7" t="s">
        <v>60</v>
      </c>
      <c r="W466" s="7" t="s">
        <v>61</v>
      </c>
      <c r="X466" s="5" t="str">
        <f ca="1">IF(INDIRECT("W466")="Clássico","13%",IF(INDIRECT("W466")="Premium","17%","-"))</f>
        <v>13%</v>
      </c>
      <c r="Y466" s="7" t="s">
        <v>62</v>
      </c>
    </row>
    <row r="467" spans="1:25" ht="50" customHeight="1" x14ac:dyDescent="0.25">
      <c r="A467" s="5" t="s">
        <v>2188</v>
      </c>
      <c r="B467" s="5" t="s">
        <v>2189</v>
      </c>
      <c r="C467" s="5" t="s">
        <v>2190</v>
      </c>
      <c r="D467" s="5"/>
      <c r="E467" s="6" t="s">
        <v>2191</v>
      </c>
      <c r="F467" s="6" t="s">
        <v>2192</v>
      </c>
      <c r="G467" s="5" t="s">
        <v>2192</v>
      </c>
      <c r="H467" s="7">
        <v>24</v>
      </c>
      <c r="I467" s="7">
        <v>26.49</v>
      </c>
      <c r="J467" s="7" t="s">
        <v>58</v>
      </c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 t="s">
        <v>59</v>
      </c>
      <c r="V467" s="7" t="s">
        <v>60</v>
      </c>
      <c r="W467" s="7" t="s">
        <v>61</v>
      </c>
      <c r="X467" s="5" t="str">
        <f ca="1">IF(INDIRECT("W467")="Clássico","13%",IF(INDIRECT("W467")="Premium","17%","-"))</f>
        <v>13%</v>
      </c>
      <c r="Y467" s="7" t="s">
        <v>62</v>
      </c>
    </row>
    <row r="468" spans="1:25" ht="50" customHeight="1" x14ac:dyDescent="0.25">
      <c r="A468" s="5" t="s">
        <v>2193</v>
      </c>
      <c r="B468" s="5" t="s">
        <v>2194</v>
      </c>
      <c r="C468" s="5" t="s">
        <v>2195</v>
      </c>
      <c r="D468" s="5"/>
      <c r="E468" s="6" t="s">
        <v>2196</v>
      </c>
      <c r="F468" s="6" t="s">
        <v>2197</v>
      </c>
      <c r="G468" s="5" t="s">
        <v>2197</v>
      </c>
      <c r="H468" s="7">
        <v>12</v>
      </c>
      <c r="I468" s="7">
        <v>23.49</v>
      </c>
      <c r="J468" s="7" t="s">
        <v>58</v>
      </c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 t="s">
        <v>59</v>
      </c>
      <c r="V468" s="7" t="s">
        <v>60</v>
      </c>
      <c r="W468" s="7" t="s">
        <v>61</v>
      </c>
      <c r="X468" s="5" t="str">
        <f ca="1">IF(INDIRECT("W468")="Clássico","12%",IF(INDIRECT("W468")="Premium","17%","-"))</f>
        <v>12%</v>
      </c>
      <c r="Y468" s="7" t="s">
        <v>62</v>
      </c>
    </row>
    <row r="469" spans="1:25" ht="50" customHeight="1" x14ac:dyDescent="0.25">
      <c r="A469" s="5" t="s">
        <v>2198</v>
      </c>
      <c r="B469" s="5" t="s">
        <v>2199</v>
      </c>
      <c r="C469" s="5" t="s">
        <v>2200</v>
      </c>
      <c r="D469" s="5"/>
      <c r="E469" s="6" t="s">
        <v>2201</v>
      </c>
      <c r="F469" s="6" t="s">
        <v>2202</v>
      </c>
      <c r="G469" s="5" t="s">
        <v>2202</v>
      </c>
      <c r="H469" s="7">
        <v>12</v>
      </c>
      <c r="I469" s="7">
        <v>26.49</v>
      </c>
      <c r="J469" s="7" t="s">
        <v>58</v>
      </c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 t="s">
        <v>59</v>
      </c>
      <c r="V469" s="7" t="s">
        <v>60</v>
      </c>
      <c r="W469" s="7" t="s">
        <v>61</v>
      </c>
      <c r="X469" s="5" t="str">
        <f ca="1">IF(INDIRECT("W469")="Clássico","13%",IF(INDIRECT("W469")="Premium","17%","-"))</f>
        <v>13%</v>
      </c>
      <c r="Y469" s="7" t="s">
        <v>62</v>
      </c>
    </row>
    <row r="470" spans="1:25" ht="50" customHeight="1" x14ac:dyDescent="0.25">
      <c r="A470" s="5" t="s">
        <v>2203</v>
      </c>
      <c r="B470" s="5" t="s">
        <v>2204</v>
      </c>
      <c r="C470" s="5" t="s">
        <v>2205</v>
      </c>
      <c r="D470" s="5"/>
      <c r="E470" s="6" t="s">
        <v>2206</v>
      </c>
      <c r="F470" s="6" t="s">
        <v>2207</v>
      </c>
      <c r="G470" s="5" t="s">
        <v>2207</v>
      </c>
      <c r="H470" s="7">
        <v>2</v>
      </c>
      <c r="I470" s="7">
        <v>26.49</v>
      </c>
      <c r="J470" s="7" t="s">
        <v>58</v>
      </c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 t="s">
        <v>59</v>
      </c>
      <c r="V470" s="7" t="s">
        <v>60</v>
      </c>
      <c r="W470" s="7" t="s">
        <v>61</v>
      </c>
      <c r="X470" s="5" t="str">
        <f ca="1">IF(INDIRECT("W470")="Clássico","13%",IF(INDIRECT("W470")="Premium","17%","-"))</f>
        <v>13%</v>
      </c>
      <c r="Y470" s="7" t="s">
        <v>62</v>
      </c>
    </row>
    <row r="471" spans="1:25" ht="50" customHeight="1" x14ac:dyDescent="0.25">
      <c r="A471" s="5" t="s">
        <v>2208</v>
      </c>
      <c r="B471" s="5" t="s">
        <v>2209</v>
      </c>
      <c r="C471" s="5" t="s">
        <v>2210</v>
      </c>
      <c r="D471" s="5"/>
      <c r="E471" s="6" t="s">
        <v>2211</v>
      </c>
      <c r="F471" s="6" t="s">
        <v>2212</v>
      </c>
      <c r="G471" s="5" t="s">
        <v>2212</v>
      </c>
      <c r="H471" s="7">
        <v>2</v>
      </c>
      <c r="I471" s="7">
        <v>26.49</v>
      </c>
      <c r="J471" s="7" t="s">
        <v>58</v>
      </c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 t="s">
        <v>59</v>
      </c>
      <c r="V471" s="7" t="s">
        <v>60</v>
      </c>
      <c r="W471" s="7" t="s">
        <v>61</v>
      </c>
      <c r="X471" s="5" t="str">
        <f ca="1">IF(INDIRECT("W471")="Clássico","13%",IF(INDIRECT("W471")="Premium","17%","-"))</f>
        <v>13%</v>
      </c>
      <c r="Y471" s="7" t="s">
        <v>62</v>
      </c>
    </row>
    <row r="472" spans="1:25" ht="50" customHeight="1" x14ac:dyDescent="0.25">
      <c r="A472" s="5" t="s">
        <v>2213</v>
      </c>
      <c r="B472" s="5" t="s">
        <v>2214</v>
      </c>
      <c r="C472" s="5" t="s">
        <v>2215</v>
      </c>
      <c r="D472" s="5"/>
      <c r="E472" s="6" t="s">
        <v>2216</v>
      </c>
      <c r="F472" s="6" t="s">
        <v>2217</v>
      </c>
      <c r="G472" s="5" t="s">
        <v>2217</v>
      </c>
      <c r="H472" s="7">
        <v>8</v>
      </c>
      <c r="I472" s="7">
        <v>18.489999999999998</v>
      </c>
      <c r="J472" s="7" t="s">
        <v>58</v>
      </c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 t="s">
        <v>59</v>
      </c>
      <c r="V472" s="7" t="s">
        <v>60</v>
      </c>
      <c r="W472" s="7" t="s">
        <v>61</v>
      </c>
      <c r="X472" s="5" t="str">
        <f ca="1">IF(INDIRECT("W472")="Clássico","13%",IF(INDIRECT("W472")="Premium","17%","-"))</f>
        <v>13%</v>
      </c>
      <c r="Y472" s="7" t="s">
        <v>62</v>
      </c>
    </row>
    <row r="473" spans="1:25" ht="50" customHeight="1" x14ac:dyDescent="0.25">
      <c r="A473" s="5" t="s">
        <v>1572</v>
      </c>
      <c r="B473" s="5" t="s">
        <v>2218</v>
      </c>
      <c r="C473" s="5" t="s">
        <v>2219</v>
      </c>
      <c r="D473" s="5"/>
      <c r="E473" s="6" t="s">
        <v>1575</v>
      </c>
      <c r="F473" s="6" t="s">
        <v>2220</v>
      </c>
      <c r="G473" s="5" t="s">
        <v>2220</v>
      </c>
      <c r="H473" s="7">
        <v>2</v>
      </c>
      <c r="I473" s="7">
        <v>33.49</v>
      </c>
      <c r="J473" s="7" t="s">
        <v>58</v>
      </c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 t="s">
        <v>59</v>
      </c>
      <c r="V473" s="7" t="s">
        <v>60</v>
      </c>
      <c r="W473" s="7" t="s">
        <v>61</v>
      </c>
      <c r="X473" s="5" t="str">
        <f ca="1">IF(INDIRECT("W473")="Clássico","13%",IF(INDIRECT("W473")="Premium","17%","-"))</f>
        <v>13%</v>
      </c>
      <c r="Y473" s="7" t="s">
        <v>62</v>
      </c>
    </row>
    <row r="474" spans="1:25" ht="50" customHeight="1" x14ac:dyDescent="0.25">
      <c r="A474" s="5" t="s">
        <v>2221</v>
      </c>
      <c r="B474" s="5" t="s">
        <v>2222</v>
      </c>
      <c r="C474" s="5" t="s">
        <v>2223</v>
      </c>
      <c r="D474" s="5"/>
      <c r="E474" s="6" t="s">
        <v>2224</v>
      </c>
      <c r="F474" s="6" t="s">
        <v>2225</v>
      </c>
      <c r="G474" s="5" t="s">
        <v>2225</v>
      </c>
      <c r="H474" s="7">
        <v>24</v>
      </c>
      <c r="I474" s="7">
        <v>86.49</v>
      </c>
      <c r="J474" s="7" t="s">
        <v>58</v>
      </c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 t="s">
        <v>59</v>
      </c>
      <c r="V474" s="7" t="s">
        <v>129</v>
      </c>
      <c r="W474" s="7" t="s">
        <v>61</v>
      </c>
      <c r="X474" s="5" t="str">
        <f ca="1">IF(INDIRECT("W474")="Clássico","13%",IF(INDIRECT("W474")="Premium","17%","-"))</f>
        <v>13%</v>
      </c>
      <c r="Y474" s="7" t="s">
        <v>62</v>
      </c>
    </row>
    <row r="475" spans="1:25" ht="50" customHeight="1" x14ac:dyDescent="0.25">
      <c r="A475" s="5" t="s">
        <v>2226</v>
      </c>
      <c r="B475" s="5" t="s">
        <v>2227</v>
      </c>
      <c r="C475" s="5" t="s">
        <v>2228</v>
      </c>
      <c r="D475" s="5"/>
      <c r="E475" s="6" t="s">
        <v>2229</v>
      </c>
      <c r="F475" s="6" t="s">
        <v>2230</v>
      </c>
      <c r="G475" s="5" t="s">
        <v>2230</v>
      </c>
      <c r="H475" s="7">
        <v>6</v>
      </c>
      <c r="I475" s="7">
        <v>145.49</v>
      </c>
      <c r="J475" s="7" t="s">
        <v>58</v>
      </c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 t="s">
        <v>59</v>
      </c>
      <c r="V475" s="7" t="s">
        <v>101</v>
      </c>
      <c r="W475" s="7" t="s">
        <v>84</v>
      </c>
      <c r="X475" s="5" t="str">
        <f ca="1">IF(INDIRECT("W475")="Clássico","13%",IF(INDIRECT("W475")="Premium","17%","-"))</f>
        <v>17%</v>
      </c>
      <c r="Y475" s="7" t="s">
        <v>62</v>
      </c>
    </row>
    <row r="476" spans="1:25" ht="50" customHeight="1" x14ac:dyDescent="0.25">
      <c r="A476" s="5" t="s">
        <v>2231</v>
      </c>
      <c r="B476" s="5" t="s">
        <v>2232</v>
      </c>
      <c r="C476" s="5" t="s">
        <v>2233</v>
      </c>
      <c r="D476" s="5"/>
      <c r="E476" s="6" t="s">
        <v>2234</v>
      </c>
      <c r="F476" s="6" t="s">
        <v>2235</v>
      </c>
      <c r="G476" s="5" t="s">
        <v>2235</v>
      </c>
      <c r="H476" s="7">
        <v>10</v>
      </c>
      <c r="I476" s="7">
        <v>93.49</v>
      </c>
      <c r="J476" s="7" t="s">
        <v>58</v>
      </c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 t="s">
        <v>59</v>
      </c>
      <c r="V476" s="7" t="s">
        <v>101</v>
      </c>
      <c r="W476" s="7" t="s">
        <v>61</v>
      </c>
      <c r="X476" s="5" t="str">
        <f ca="1">IF(INDIRECT("W476")="Clássico","13%",IF(INDIRECT("W476")="Premium","17%","-"))</f>
        <v>13%</v>
      </c>
      <c r="Y476" s="7" t="s">
        <v>62</v>
      </c>
    </row>
    <row r="477" spans="1:25" ht="50" customHeight="1" x14ac:dyDescent="0.25">
      <c r="A477" s="5" t="s">
        <v>2236</v>
      </c>
      <c r="B477" s="5" t="s">
        <v>2237</v>
      </c>
      <c r="C477" s="5" t="s">
        <v>2238</v>
      </c>
      <c r="D477" s="5"/>
      <c r="E477" s="6" t="s">
        <v>2239</v>
      </c>
      <c r="F477" s="6" t="s">
        <v>2240</v>
      </c>
      <c r="G477" s="5" t="s">
        <v>2240</v>
      </c>
      <c r="H477" s="7">
        <v>10</v>
      </c>
      <c r="I477" s="7">
        <v>93.49</v>
      </c>
      <c r="J477" s="7" t="s">
        <v>58</v>
      </c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 t="s">
        <v>59</v>
      </c>
      <c r="V477" s="7" t="s">
        <v>101</v>
      </c>
      <c r="W477" s="7" t="s">
        <v>61</v>
      </c>
      <c r="X477" s="5" t="str">
        <f ca="1">IF(INDIRECT("W477")="Clássico","13%",IF(INDIRECT("W477")="Premium","17%","-"))</f>
        <v>13%</v>
      </c>
      <c r="Y477" s="7" t="s">
        <v>62</v>
      </c>
    </row>
    <row r="478" spans="1:25" ht="50" customHeight="1" x14ac:dyDescent="0.25">
      <c r="A478" s="5" t="s">
        <v>2241</v>
      </c>
      <c r="B478" s="5" t="s">
        <v>2242</v>
      </c>
      <c r="C478" s="5" t="s">
        <v>2243</v>
      </c>
      <c r="D478" s="5"/>
      <c r="E478" s="6" t="s">
        <v>2244</v>
      </c>
      <c r="F478" s="6" t="s">
        <v>2245</v>
      </c>
      <c r="G478" s="5" t="s">
        <v>2245</v>
      </c>
      <c r="H478" s="7">
        <v>10</v>
      </c>
      <c r="I478" s="7">
        <v>49.49</v>
      </c>
      <c r="J478" s="7" t="s">
        <v>58</v>
      </c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 t="s">
        <v>59</v>
      </c>
      <c r="V478" s="7" t="s">
        <v>101</v>
      </c>
      <c r="W478" s="7" t="s">
        <v>61</v>
      </c>
      <c r="X478" s="5" t="str">
        <f ca="1">IF(INDIRECT("W478")="Clássico","13%",IF(INDIRECT("W478")="Premium","17%","-"))</f>
        <v>13%</v>
      </c>
      <c r="Y478" s="7" t="s">
        <v>62</v>
      </c>
    </row>
    <row r="479" spans="1:25" ht="50" customHeight="1" x14ac:dyDescent="0.25">
      <c r="A479" s="5" t="s">
        <v>1389</v>
      </c>
      <c r="B479" s="5" t="s">
        <v>2246</v>
      </c>
      <c r="C479" s="5" t="s">
        <v>1391</v>
      </c>
      <c r="D479" s="5"/>
      <c r="E479" s="6" t="s">
        <v>1392</v>
      </c>
      <c r="F479" s="6" t="s">
        <v>2247</v>
      </c>
      <c r="G479" s="5" t="s">
        <v>2247</v>
      </c>
      <c r="H479" s="7">
        <v>12</v>
      </c>
      <c r="I479" s="7">
        <v>26.49</v>
      </c>
      <c r="J479" s="7" t="s">
        <v>58</v>
      </c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 t="s">
        <v>59</v>
      </c>
      <c r="V479" s="7" t="s">
        <v>101</v>
      </c>
      <c r="W479" s="7" t="s">
        <v>61</v>
      </c>
      <c r="X479" s="5" t="str">
        <f ca="1">IF(INDIRECT("W479")="Clássico","13%",IF(INDIRECT("W479")="Premium","17%","-"))</f>
        <v>13%</v>
      </c>
      <c r="Y479" s="7" t="s">
        <v>62</v>
      </c>
    </row>
    <row r="480" spans="1:25" ht="50" customHeight="1" x14ac:dyDescent="0.25">
      <c r="A480" s="5" t="s">
        <v>2248</v>
      </c>
      <c r="B480" s="5" t="s">
        <v>2249</v>
      </c>
      <c r="C480" s="5" t="s">
        <v>2250</v>
      </c>
      <c r="D480" s="5"/>
      <c r="E480" s="6" t="s">
        <v>1717</v>
      </c>
      <c r="F480" s="6" t="s">
        <v>1718</v>
      </c>
      <c r="G480" s="5" t="s">
        <v>1718</v>
      </c>
      <c r="H480" s="7">
        <v>12</v>
      </c>
      <c r="I480" s="7">
        <v>31.49</v>
      </c>
      <c r="J480" s="7" t="s">
        <v>58</v>
      </c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 t="s">
        <v>59</v>
      </c>
      <c r="V480" s="7" t="s">
        <v>60</v>
      </c>
      <c r="W480" s="7" t="s">
        <v>61</v>
      </c>
      <c r="X480" s="5" t="str">
        <f ca="1">IF(INDIRECT("W480")="Clássico","13%",IF(INDIRECT("W480")="Premium","17%","-"))</f>
        <v>13%</v>
      </c>
      <c r="Y480" s="7" t="s">
        <v>62</v>
      </c>
    </row>
    <row r="481" spans="1:25" ht="50" customHeight="1" x14ac:dyDescent="0.25">
      <c r="A481" s="5" t="s">
        <v>2251</v>
      </c>
      <c r="B481" s="5" t="s">
        <v>2252</v>
      </c>
      <c r="C481" s="5" t="s">
        <v>2253</v>
      </c>
      <c r="D481" s="5"/>
      <c r="E481" s="6" t="s">
        <v>2254</v>
      </c>
      <c r="F481" s="6" t="s">
        <v>2255</v>
      </c>
      <c r="G481" s="5" t="s">
        <v>2255</v>
      </c>
      <c r="H481" s="7">
        <v>107</v>
      </c>
      <c r="I481" s="7">
        <v>28.49</v>
      </c>
      <c r="J481" s="7" t="s">
        <v>58</v>
      </c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 t="s">
        <v>59</v>
      </c>
      <c r="V481" s="7" t="s">
        <v>60</v>
      </c>
      <c r="W481" s="7" t="s">
        <v>61</v>
      </c>
      <c r="X481" s="5" t="str">
        <f ca="1">IF(INDIRECT("W481")="Clássico","13%",IF(INDIRECT("W481")="Premium","17%","-"))</f>
        <v>13%</v>
      </c>
      <c r="Y481" s="7" t="s">
        <v>62</v>
      </c>
    </row>
    <row r="482" spans="1:25" ht="50" customHeight="1" x14ac:dyDescent="0.25">
      <c r="A482" s="5" t="s">
        <v>2256</v>
      </c>
      <c r="B482" s="5" t="s">
        <v>2257</v>
      </c>
      <c r="C482" s="5" t="s">
        <v>2258</v>
      </c>
      <c r="D482" s="5"/>
      <c r="E482" s="6" t="s">
        <v>2259</v>
      </c>
      <c r="F482" s="6" t="s">
        <v>2260</v>
      </c>
      <c r="G482" s="5" t="s">
        <v>2260</v>
      </c>
      <c r="H482" s="7">
        <v>24</v>
      </c>
      <c r="I482" s="7">
        <v>22.49</v>
      </c>
      <c r="J482" s="7" t="s">
        <v>58</v>
      </c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 t="s">
        <v>59</v>
      </c>
      <c r="V482" s="7" t="s">
        <v>60</v>
      </c>
      <c r="W482" s="7" t="s">
        <v>61</v>
      </c>
      <c r="X482" s="5" t="str">
        <f ca="1">IF(INDIRECT("W482")="Clássico","13%",IF(INDIRECT("W482")="Premium","17%","-"))</f>
        <v>13%</v>
      </c>
      <c r="Y482" s="7" t="s">
        <v>62</v>
      </c>
    </row>
    <row r="483" spans="1:25" ht="50" customHeight="1" x14ac:dyDescent="0.25">
      <c r="A483" s="5" t="s">
        <v>2261</v>
      </c>
      <c r="B483" s="5" t="s">
        <v>2262</v>
      </c>
      <c r="C483" s="5" t="s">
        <v>2263</v>
      </c>
      <c r="D483" s="5"/>
      <c r="E483" s="6" t="s">
        <v>2264</v>
      </c>
      <c r="F483" s="6" t="s">
        <v>2265</v>
      </c>
      <c r="G483" s="5" t="s">
        <v>2265</v>
      </c>
      <c r="H483" s="7">
        <v>24</v>
      </c>
      <c r="I483" s="7">
        <v>86.49</v>
      </c>
      <c r="J483" s="7" t="s">
        <v>58</v>
      </c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 t="s">
        <v>59</v>
      </c>
      <c r="V483" s="7" t="s">
        <v>129</v>
      </c>
      <c r="W483" s="7" t="s">
        <v>61</v>
      </c>
      <c r="X483" s="5" t="str">
        <f ca="1">IF(INDIRECT("W483")="Clássico","13%",IF(INDIRECT("W483")="Premium","17%","-"))</f>
        <v>13%</v>
      </c>
      <c r="Y483" s="7" t="s">
        <v>62</v>
      </c>
    </row>
    <row r="484" spans="1:25" ht="50" customHeight="1" x14ac:dyDescent="0.25">
      <c r="A484" s="5" t="s">
        <v>2266</v>
      </c>
      <c r="B484" s="5" t="s">
        <v>2267</v>
      </c>
      <c r="C484" s="5" t="s">
        <v>2268</v>
      </c>
      <c r="D484" s="5"/>
      <c r="E484" s="6" t="s">
        <v>2269</v>
      </c>
      <c r="F484" s="6" t="s">
        <v>2270</v>
      </c>
      <c r="G484" s="5" t="s">
        <v>2270</v>
      </c>
      <c r="H484" s="7">
        <v>6</v>
      </c>
      <c r="I484" s="7">
        <v>248.97</v>
      </c>
      <c r="J484" s="7" t="s">
        <v>58</v>
      </c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 t="s">
        <v>59</v>
      </c>
      <c r="V484" s="7" t="s">
        <v>101</v>
      </c>
      <c r="W484" s="7" t="s">
        <v>84</v>
      </c>
      <c r="X484" s="5" t="str">
        <f ca="1">IF(INDIRECT("W484")="Clássico","13%",IF(INDIRECT("W484")="Premium","15%","-"))</f>
        <v>15%</v>
      </c>
      <c r="Y484" s="7" t="s">
        <v>62</v>
      </c>
    </row>
    <row r="485" spans="1:25" ht="50" customHeight="1" x14ac:dyDescent="0.25">
      <c r="A485" s="5" t="s">
        <v>2271</v>
      </c>
      <c r="B485" s="5" t="s">
        <v>2272</v>
      </c>
      <c r="C485" s="5" t="s">
        <v>2273</v>
      </c>
      <c r="D485" s="5"/>
      <c r="E485" s="6" t="s">
        <v>2274</v>
      </c>
      <c r="F485" s="6" t="s">
        <v>2275</v>
      </c>
      <c r="G485" s="5" t="s">
        <v>2275</v>
      </c>
      <c r="H485" s="7">
        <v>8</v>
      </c>
      <c r="I485" s="7">
        <v>48.99</v>
      </c>
      <c r="J485" s="7" t="s">
        <v>58</v>
      </c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 t="s">
        <v>59</v>
      </c>
      <c r="V485" s="7" t="s">
        <v>60</v>
      </c>
      <c r="W485" s="7" t="s">
        <v>61</v>
      </c>
      <c r="X485" s="5" t="str">
        <f ca="1">IF(INDIRECT("W485")="Clássico","13%",IF(INDIRECT("W485")="Premium","17%","-"))</f>
        <v>13%</v>
      </c>
      <c r="Y485" s="7" t="s">
        <v>62</v>
      </c>
    </row>
    <row r="486" spans="1:25" ht="50" customHeight="1" x14ac:dyDescent="0.25">
      <c r="A486" s="5" t="s">
        <v>2276</v>
      </c>
      <c r="B486" s="5" t="s">
        <v>2277</v>
      </c>
      <c r="C486" s="5" t="s">
        <v>2278</v>
      </c>
      <c r="D486" s="5"/>
      <c r="E486" s="6" t="s">
        <v>1723</v>
      </c>
      <c r="F486" s="6" t="s">
        <v>2279</v>
      </c>
      <c r="G486" s="5" t="s">
        <v>2279</v>
      </c>
      <c r="H486" s="7">
        <v>24</v>
      </c>
      <c r="I486" s="7">
        <v>28.49</v>
      </c>
      <c r="J486" s="7" t="s">
        <v>58</v>
      </c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 t="s">
        <v>59</v>
      </c>
      <c r="V486" s="7" t="s">
        <v>60</v>
      </c>
      <c r="W486" s="7" t="s">
        <v>61</v>
      </c>
      <c r="X486" s="5" t="str">
        <f ca="1">IF(INDIRECT("W486")="Clássico","13%",IF(INDIRECT("W486")="Premium","17%","-"))</f>
        <v>13%</v>
      </c>
      <c r="Y486" s="7" t="s">
        <v>62</v>
      </c>
    </row>
    <row r="487" spans="1:25" ht="50" customHeight="1" x14ac:dyDescent="0.25">
      <c r="A487" s="5" t="s">
        <v>2280</v>
      </c>
      <c r="B487" s="5" t="s">
        <v>2281</v>
      </c>
      <c r="C487" s="5" t="s">
        <v>2282</v>
      </c>
      <c r="D487" s="5"/>
      <c r="E487" s="6" t="s">
        <v>2283</v>
      </c>
      <c r="F487" s="6" t="s">
        <v>2284</v>
      </c>
      <c r="G487" s="5" t="s">
        <v>2284</v>
      </c>
      <c r="H487" s="7">
        <v>8</v>
      </c>
      <c r="I487" s="7">
        <v>28.49</v>
      </c>
      <c r="J487" s="7" t="s">
        <v>58</v>
      </c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 t="s">
        <v>59</v>
      </c>
      <c r="V487" s="7" t="s">
        <v>60</v>
      </c>
      <c r="W487" s="7" t="s">
        <v>61</v>
      </c>
      <c r="X487" s="5" t="str">
        <f ca="1">IF(INDIRECT("W487")="Clássico","13%",IF(INDIRECT("W487")="Premium","17%","-"))</f>
        <v>13%</v>
      </c>
      <c r="Y487" s="7" t="s">
        <v>62</v>
      </c>
    </row>
    <row r="488" spans="1:25" ht="50" customHeight="1" x14ac:dyDescent="0.25">
      <c r="A488" s="5" t="s">
        <v>2285</v>
      </c>
      <c r="B488" s="5" t="s">
        <v>2286</v>
      </c>
      <c r="C488" s="5" t="s">
        <v>2287</v>
      </c>
      <c r="D488" s="5"/>
      <c r="E488" s="6" t="s">
        <v>2288</v>
      </c>
      <c r="F488" s="6" t="s">
        <v>2289</v>
      </c>
      <c r="G488" s="5" t="s">
        <v>2289</v>
      </c>
      <c r="H488" s="7">
        <v>24</v>
      </c>
      <c r="I488" s="7">
        <v>28.49</v>
      </c>
      <c r="J488" s="7" t="s">
        <v>58</v>
      </c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 t="s">
        <v>59</v>
      </c>
      <c r="V488" s="7" t="s">
        <v>60</v>
      </c>
      <c r="W488" s="7" t="s">
        <v>61</v>
      </c>
      <c r="X488" s="5" t="str">
        <f ca="1">IF(INDIRECT("W488")="Clássico","13%",IF(INDIRECT("W488")="Premium","17%","-"))</f>
        <v>13%</v>
      </c>
      <c r="Y488" s="7" t="s">
        <v>62</v>
      </c>
    </row>
    <row r="489" spans="1:25" ht="50" customHeight="1" x14ac:dyDescent="0.25">
      <c r="A489" s="5" t="s">
        <v>1773</v>
      </c>
      <c r="B489" s="5" t="s">
        <v>2290</v>
      </c>
      <c r="C489" s="5" t="s">
        <v>1775</v>
      </c>
      <c r="D489" s="5"/>
      <c r="E489" s="6" t="s">
        <v>1776</v>
      </c>
      <c r="F489" s="6" t="s">
        <v>2291</v>
      </c>
      <c r="G489" s="5" t="s">
        <v>2291</v>
      </c>
      <c r="H489" s="7">
        <v>10</v>
      </c>
      <c r="I489" s="7">
        <v>22.49</v>
      </c>
      <c r="J489" s="7" t="s">
        <v>58</v>
      </c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 t="s">
        <v>59</v>
      </c>
      <c r="V489" s="7" t="s">
        <v>101</v>
      </c>
      <c r="W489" s="7" t="s">
        <v>61</v>
      </c>
      <c r="X489" s="5" t="str">
        <f ca="1">IF(INDIRECT("W489")="Clássico","13%",IF(INDIRECT("W489")="Premium","17%","-"))</f>
        <v>13%</v>
      </c>
      <c r="Y489" s="7" t="s">
        <v>62</v>
      </c>
    </row>
    <row r="490" spans="1:25" ht="50" customHeight="1" x14ac:dyDescent="0.25">
      <c r="A490" s="5" t="s">
        <v>1626</v>
      </c>
      <c r="B490" s="5" t="s">
        <v>2292</v>
      </c>
      <c r="C490" s="5" t="s">
        <v>2293</v>
      </c>
      <c r="D490" s="5"/>
      <c r="E490" s="6" t="s">
        <v>1629</v>
      </c>
      <c r="F490" s="6" t="s">
        <v>1630</v>
      </c>
      <c r="G490" s="5" t="s">
        <v>1630</v>
      </c>
      <c r="H490" s="7">
        <v>10</v>
      </c>
      <c r="I490" s="7">
        <v>26.49</v>
      </c>
      <c r="J490" s="7" t="s">
        <v>58</v>
      </c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 t="s">
        <v>59</v>
      </c>
      <c r="V490" s="7" t="s">
        <v>60</v>
      </c>
      <c r="W490" s="7" t="s">
        <v>61</v>
      </c>
      <c r="X490" s="5" t="str">
        <f ca="1">IF(INDIRECT("W490")="Clássico","13%",IF(INDIRECT("W490")="Premium","17%","-"))</f>
        <v>13%</v>
      </c>
      <c r="Y490" s="7" t="s">
        <v>62</v>
      </c>
    </row>
    <row r="491" spans="1:25" ht="50" customHeight="1" x14ac:dyDescent="0.25">
      <c r="A491" s="5" t="s">
        <v>1686</v>
      </c>
      <c r="B491" s="5" t="s">
        <v>2294</v>
      </c>
      <c r="C491" s="5" t="s">
        <v>1688</v>
      </c>
      <c r="D491" s="5"/>
      <c r="E491" s="6" t="s">
        <v>1689</v>
      </c>
      <c r="F491" s="6" t="s">
        <v>1690</v>
      </c>
      <c r="G491" s="5" t="s">
        <v>1690</v>
      </c>
      <c r="H491" s="7">
        <v>8</v>
      </c>
      <c r="I491" s="7">
        <v>26.49</v>
      </c>
      <c r="J491" s="7" t="s">
        <v>58</v>
      </c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 t="s">
        <v>59</v>
      </c>
      <c r="V491" s="7" t="s">
        <v>60</v>
      </c>
      <c r="W491" s="7" t="s">
        <v>61</v>
      </c>
      <c r="X491" s="5" t="str">
        <f ca="1">IF(INDIRECT("W491")="Clássico","13%",IF(INDIRECT("W491")="Premium","17%","-"))</f>
        <v>13%</v>
      </c>
      <c r="Y491" s="7" t="s">
        <v>62</v>
      </c>
    </row>
    <row r="492" spans="1:25" ht="50" customHeight="1" x14ac:dyDescent="0.25">
      <c r="A492" s="5" t="s">
        <v>2295</v>
      </c>
      <c r="B492" s="5" t="s">
        <v>2296</v>
      </c>
      <c r="C492" s="5" t="s">
        <v>2297</v>
      </c>
      <c r="D492" s="5"/>
      <c r="E492" s="6" t="s">
        <v>2298</v>
      </c>
      <c r="F492" s="6" t="s">
        <v>2299</v>
      </c>
      <c r="G492" s="5" t="s">
        <v>2299</v>
      </c>
      <c r="H492" s="7">
        <v>10</v>
      </c>
      <c r="I492" s="7">
        <v>33.49</v>
      </c>
      <c r="J492" s="7" t="s">
        <v>58</v>
      </c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 t="s">
        <v>59</v>
      </c>
      <c r="V492" s="7" t="s">
        <v>60</v>
      </c>
      <c r="W492" s="7" t="s">
        <v>61</v>
      </c>
      <c r="X492" s="5" t="str">
        <f ca="1">IF(INDIRECT("W492")="Clássico","13%",IF(INDIRECT("W492")="Premium","17%","-"))</f>
        <v>13%</v>
      </c>
      <c r="Y492" s="7" t="s">
        <v>62</v>
      </c>
    </row>
    <row r="493" spans="1:25" ht="50" customHeight="1" x14ac:dyDescent="0.25">
      <c r="A493" s="5" t="s">
        <v>2300</v>
      </c>
      <c r="B493" s="5" t="s">
        <v>2301</v>
      </c>
      <c r="C493" s="5" t="s">
        <v>2302</v>
      </c>
      <c r="D493" s="5"/>
      <c r="E493" s="6" t="s">
        <v>2303</v>
      </c>
      <c r="F493" s="6" t="s">
        <v>2304</v>
      </c>
      <c r="G493" s="5" t="s">
        <v>2304</v>
      </c>
      <c r="H493" s="7">
        <v>6</v>
      </c>
      <c r="I493" s="7">
        <v>24.49</v>
      </c>
      <c r="J493" s="7" t="s">
        <v>58</v>
      </c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 t="s">
        <v>59</v>
      </c>
      <c r="V493" s="7" t="s">
        <v>60</v>
      </c>
      <c r="W493" s="7" t="s">
        <v>61</v>
      </c>
      <c r="X493" s="5" t="str">
        <f ca="1">IF(INDIRECT("W493")="Clássico","13%",IF(INDIRECT("W493")="Premium","17%","-"))</f>
        <v>13%</v>
      </c>
      <c r="Y493" s="7" t="s">
        <v>62</v>
      </c>
    </row>
    <row r="494" spans="1:25" ht="50" customHeight="1" x14ac:dyDescent="0.25">
      <c r="A494" s="5" t="s">
        <v>2305</v>
      </c>
      <c r="B494" s="5" t="s">
        <v>2306</v>
      </c>
      <c r="C494" s="5" t="s">
        <v>2307</v>
      </c>
      <c r="D494" s="5"/>
      <c r="E494" s="6" t="s">
        <v>2308</v>
      </c>
      <c r="F494" s="6" t="s">
        <v>2309</v>
      </c>
      <c r="G494" s="5" t="s">
        <v>2309</v>
      </c>
      <c r="H494" s="7">
        <v>96</v>
      </c>
      <c r="I494" s="7">
        <v>20.49</v>
      </c>
      <c r="J494" s="7" t="s">
        <v>58</v>
      </c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 t="s">
        <v>59</v>
      </c>
      <c r="V494" s="7" t="s">
        <v>60</v>
      </c>
      <c r="W494" s="7" t="s">
        <v>61</v>
      </c>
      <c r="X494" s="5" t="str">
        <f ca="1">IF(INDIRECT("W494")="Clássico","13%",IF(INDIRECT("W494")="Premium","17%","-"))</f>
        <v>13%</v>
      </c>
      <c r="Y494" s="7" t="s">
        <v>62</v>
      </c>
    </row>
    <row r="495" spans="1:25" ht="50" customHeight="1" x14ac:dyDescent="0.25">
      <c r="A495" s="5" t="s">
        <v>2310</v>
      </c>
      <c r="B495" s="5" t="s">
        <v>2311</v>
      </c>
      <c r="C495" s="5" t="s">
        <v>2312</v>
      </c>
      <c r="D495" s="5"/>
      <c r="E495" s="6" t="s">
        <v>2313</v>
      </c>
      <c r="F495" s="6" t="s">
        <v>2314</v>
      </c>
      <c r="G495" s="5" t="s">
        <v>2314</v>
      </c>
      <c r="H495" s="7">
        <v>10</v>
      </c>
      <c r="I495" s="7">
        <v>83.49</v>
      </c>
      <c r="J495" s="7" t="s">
        <v>58</v>
      </c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 t="s">
        <v>59</v>
      </c>
      <c r="V495" s="7" t="s">
        <v>101</v>
      </c>
      <c r="W495" s="7" t="s">
        <v>61</v>
      </c>
      <c r="X495" s="5" t="str">
        <f ca="1">IF(INDIRECT("W495")="Clássico","13%",IF(INDIRECT("W495")="Premium","17%","-"))</f>
        <v>13%</v>
      </c>
      <c r="Y495" s="7" t="s">
        <v>62</v>
      </c>
    </row>
    <row r="496" spans="1:25" ht="50" customHeight="1" x14ac:dyDescent="0.25">
      <c r="A496" s="5" t="s">
        <v>2315</v>
      </c>
      <c r="B496" s="5" t="s">
        <v>2316</v>
      </c>
      <c r="C496" s="5" t="s">
        <v>2317</v>
      </c>
      <c r="D496" s="5"/>
      <c r="E496" s="6" t="s">
        <v>2318</v>
      </c>
      <c r="F496" s="6" t="s">
        <v>2319</v>
      </c>
      <c r="G496" s="5" t="s">
        <v>2319</v>
      </c>
      <c r="H496" s="7">
        <v>20</v>
      </c>
      <c r="I496" s="7">
        <v>526.49</v>
      </c>
      <c r="J496" s="7" t="s">
        <v>58</v>
      </c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 t="s">
        <v>59</v>
      </c>
      <c r="V496" s="7" t="s">
        <v>129</v>
      </c>
      <c r="W496" s="7" t="s">
        <v>84</v>
      </c>
      <c r="X496" s="5" t="str">
        <f ca="1">IF(INDIRECT("W496")="Clássico","12%",IF(INDIRECT("W496")="Premium","15%","-"))</f>
        <v>15%</v>
      </c>
      <c r="Y496" s="7" t="s">
        <v>62</v>
      </c>
    </row>
    <row r="497" spans="1:25" ht="50" customHeight="1" x14ac:dyDescent="0.25">
      <c r="A497" s="5" t="s">
        <v>2320</v>
      </c>
      <c r="B497" s="5" t="s">
        <v>2321</v>
      </c>
      <c r="C497" s="5" t="s">
        <v>2322</v>
      </c>
      <c r="D497" s="5"/>
      <c r="E497" s="6" t="s">
        <v>2323</v>
      </c>
      <c r="F497" s="6" t="s">
        <v>2324</v>
      </c>
      <c r="G497" s="5" t="s">
        <v>2324</v>
      </c>
      <c r="H497" s="7">
        <v>72</v>
      </c>
      <c r="I497" s="7">
        <v>28.49</v>
      </c>
      <c r="J497" s="7" t="s">
        <v>58</v>
      </c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 t="s">
        <v>59</v>
      </c>
      <c r="V497" s="7" t="s">
        <v>60</v>
      </c>
      <c r="W497" s="7" t="s">
        <v>61</v>
      </c>
      <c r="X497" s="5" t="str">
        <f ca="1">IF(INDIRECT("W497")="Clássico","13%",IF(INDIRECT("W497")="Premium","17%","-"))</f>
        <v>13%</v>
      </c>
      <c r="Y497" s="7" t="s">
        <v>62</v>
      </c>
    </row>
    <row r="498" spans="1:25" ht="50" customHeight="1" x14ac:dyDescent="0.25">
      <c r="A498" s="5" t="s">
        <v>2325</v>
      </c>
      <c r="B498" s="5" t="s">
        <v>2326</v>
      </c>
      <c r="C498" s="5" t="s">
        <v>2327</v>
      </c>
      <c r="D498" s="5"/>
      <c r="E498" s="6" t="s">
        <v>2328</v>
      </c>
      <c r="F498" s="6" t="s">
        <v>2329</v>
      </c>
      <c r="G498" s="5" t="s">
        <v>2329</v>
      </c>
      <c r="H498" s="7">
        <v>6</v>
      </c>
      <c r="I498" s="7">
        <v>47.49</v>
      </c>
      <c r="J498" s="7" t="s">
        <v>58</v>
      </c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 t="s">
        <v>59</v>
      </c>
      <c r="V498" s="7" t="s">
        <v>60</v>
      </c>
      <c r="W498" s="7" t="s">
        <v>61</v>
      </c>
      <c r="X498" s="5" t="str">
        <f ca="1">IF(INDIRECT("W498")="Clássico","13%",IF(INDIRECT("W498")="Premium","17%","-"))</f>
        <v>13%</v>
      </c>
      <c r="Y498" s="7" t="s">
        <v>62</v>
      </c>
    </row>
    <row r="499" spans="1:25" ht="50" customHeight="1" x14ac:dyDescent="0.25">
      <c r="A499" s="5" t="s">
        <v>2330</v>
      </c>
      <c r="B499" s="5" t="s">
        <v>2331</v>
      </c>
      <c r="C499" s="5" t="s">
        <v>2332</v>
      </c>
      <c r="D499" s="5"/>
      <c r="E499" s="6" t="s">
        <v>2333</v>
      </c>
      <c r="F499" s="6" t="s">
        <v>2334</v>
      </c>
      <c r="G499" s="5" t="s">
        <v>2334</v>
      </c>
      <c r="H499" s="7">
        <v>24</v>
      </c>
      <c r="I499" s="7">
        <v>22.49</v>
      </c>
      <c r="J499" s="7" t="s">
        <v>58</v>
      </c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 t="s">
        <v>59</v>
      </c>
      <c r="V499" s="7" t="s">
        <v>60</v>
      </c>
      <c r="W499" s="7" t="s">
        <v>61</v>
      </c>
      <c r="X499" s="5" t="str">
        <f ca="1">IF(INDIRECT("W499")="Clássico","13%",IF(INDIRECT("W499")="Premium","17%","-"))</f>
        <v>13%</v>
      </c>
      <c r="Y499" s="7" t="s">
        <v>62</v>
      </c>
    </row>
    <row r="500" spans="1:25" ht="50" customHeight="1" x14ac:dyDescent="0.25">
      <c r="A500" s="5" t="s">
        <v>2335</v>
      </c>
      <c r="B500" s="5" t="s">
        <v>2336</v>
      </c>
      <c r="C500" s="5" t="s">
        <v>2337</v>
      </c>
      <c r="D500" s="5"/>
      <c r="E500" s="6" t="s">
        <v>2338</v>
      </c>
      <c r="F500" s="6" t="s">
        <v>2339</v>
      </c>
      <c r="G500" s="5" t="s">
        <v>2339</v>
      </c>
      <c r="H500" s="7">
        <v>30</v>
      </c>
      <c r="I500" s="7">
        <v>93.49</v>
      </c>
      <c r="J500" s="7" t="s">
        <v>58</v>
      </c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5" t="s">
        <v>59</v>
      </c>
      <c r="V500" s="7" t="s">
        <v>129</v>
      </c>
      <c r="W500" s="7" t="s">
        <v>61</v>
      </c>
      <c r="X500" s="5" t="str">
        <f ca="1">IF(INDIRECT("W500")="Clássico","14%",IF(INDIRECT("W500")="Premium","19%","-"))</f>
        <v>14%</v>
      </c>
      <c r="Y500" s="7" t="s">
        <v>62</v>
      </c>
    </row>
    <row r="501" spans="1:25" ht="50" customHeight="1" x14ac:dyDescent="0.25">
      <c r="A501" s="5" t="s">
        <v>2340</v>
      </c>
      <c r="B501" s="5" t="s">
        <v>2341</v>
      </c>
      <c r="C501" s="5" t="s">
        <v>2342</v>
      </c>
      <c r="D501" s="5"/>
      <c r="E501" s="6" t="s">
        <v>2343</v>
      </c>
      <c r="F501" s="6" t="s">
        <v>2344</v>
      </c>
      <c r="G501" s="5" t="s">
        <v>2344</v>
      </c>
      <c r="H501" s="7">
        <v>2</v>
      </c>
      <c r="I501" s="7">
        <v>31.49</v>
      </c>
      <c r="J501" s="7" t="s">
        <v>58</v>
      </c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 t="s">
        <v>59</v>
      </c>
      <c r="V501" s="7" t="s">
        <v>60</v>
      </c>
      <c r="W501" s="7" t="s">
        <v>61</v>
      </c>
      <c r="X501" s="5" t="str">
        <f ca="1">IF(INDIRECT("W501")="Clássico","13%",IF(INDIRECT("W501")="Premium","17%","-"))</f>
        <v>13%</v>
      </c>
      <c r="Y501" s="7" t="s">
        <v>62</v>
      </c>
    </row>
    <row r="502" spans="1:25" ht="50" customHeight="1" x14ac:dyDescent="0.25">
      <c r="A502" s="5" t="s">
        <v>2345</v>
      </c>
      <c r="B502" s="5" t="s">
        <v>2346</v>
      </c>
      <c r="C502" s="5" t="s">
        <v>2347</v>
      </c>
      <c r="D502" s="5"/>
      <c r="E502" s="6" t="s">
        <v>2348</v>
      </c>
      <c r="F502" s="6" t="s">
        <v>2349</v>
      </c>
      <c r="G502" s="5" t="s">
        <v>2349</v>
      </c>
      <c r="H502" s="7">
        <v>500</v>
      </c>
      <c r="I502" s="7">
        <v>39.49</v>
      </c>
      <c r="J502" s="7" t="s">
        <v>58</v>
      </c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 t="s">
        <v>59</v>
      </c>
      <c r="V502" s="7" t="s">
        <v>60</v>
      </c>
      <c r="W502" s="7" t="s">
        <v>61</v>
      </c>
      <c r="X502" s="5" t="str">
        <f ca="1">IF(INDIRECT("W502")="Clássico","14%",IF(INDIRECT("W502")="Premium","19%","-"))</f>
        <v>14%</v>
      </c>
      <c r="Y502" s="7" t="s">
        <v>62</v>
      </c>
    </row>
    <row r="503" spans="1:25" ht="50" customHeight="1" x14ac:dyDescent="0.25">
      <c r="A503" s="5" t="s">
        <v>2350</v>
      </c>
      <c r="B503" s="5" t="s">
        <v>2351</v>
      </c>
      <c r="C503" s="5" t="s">
        <v>2352</v>
      </c>
      <c r="D503" s="5"/>
      <c r="E503" s="6" t="s">
        <v>2353</v>
      </c>
      <c r="F503" s="6" t="s">
        <v>2354</v>
      </c>
      <c r="G503" s="5" t="s">
        <v>2354</v>
      </c>
      <c r="H503" s="7">
        <v>11</v>
      </c>
      <c r="I503" s="7">
        <v>37.49</v>
      </c>
      <c r="J503" s="7" t="s">
        <v>58</v>
      </c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 t="s">
        <v>59</v>
      </c>
      <c r="V503" s="7" t="s">
        <v>60</v>
      </c>
      <c r="W503" s="7" t="s">
        <v>61</v>
      </c>
      <c r="X503" s="5" t="str">
        <f ca="1">IF(INDIRECT("W503")="Clássico","13%",IF(INDIRECT("W503")="Premium","17%","-"))</f>
        <v>13%</v>
      </c>
      <c r="Y503" s="7" t="s">
        <v>62</v>
      </c>
    </row>
    <row r="504" spans="1:25" ht="50" customHeight="1" x14ac:dyDescent="0.25">
      <c r="A504" s="5" t="s">
        <v>2355</v>
      </c>
      <c r="B504" s="5" t="s">
        <v>2356</v>
      </c>
      <c r="C504" s="5" t="s">
        <v>2357</v>
      </c>
      <c r="D504" s="5"/>
      <c r="E504" s="6" t="s">
        <v>2358</v>
      </c>
      <c r="F504" s="6" t="s">
        <v>2359</v>
      </c>
      <c r="G504" s="5" t="s">
        <v>2359</v>
      </c>
      <c r="H504" s="7">
        <v>10</v>
      </c>
      <c r="I504" s="7">
        <v>26.49</v>
      </c>
      <c r="J504" s="7" t="s">
        <v>58</v>
      </c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 t="s">
        <v>59</v>
      </c>
      <c r="V504" s="7" t="s">
        <v>60</v>
      </c>
      <c r="W504" s="7" t="s">
        <v>61</v>
      </c>
      <c r="X504" s="5" t="str">
        <f ca="1">IF(INDIRECT("W504")="Clássico","13%",IF(INDIRECT("W504")="Premium","17%","-"))</f>
        <v>13%</v>
      </c>
      <c r="Y504" s="7" t="s">
        <v>62</v>
      </c>
    </row>
    <row r="505" spans="1:25" ht="50" customHeight="1" x14ac:dyDescent="0.25">
      <c r="A505" s="5" t="s">
        <v>2360</v>
      </c>
      <c r="B505" s="5" t="s">
        <v>2361</v>
      </c>
      <c r="C505" s="5" t="s">
        <v>2362</v>
      </c>
      <c r="D505" s="5"/>
      <c r="E505" s="6" t="s">
        <v>2363</v>
      </c>
      <c r="F505" s="6" t="s">
        <v>2364</v>
      </c>
      <c r="G505" s="5" t="s">
        <v>2364</v>
      </c>
      <c r="H505" s="7">
        <v>6</v>
      </c>
      <c r="I505" s="7">
        <v>87.49</v>
      </c>
      <c r="J505" s="7" t="s">
        <v>58</v>
      </c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 t="s">
        <v>59</v>
      </c>
      <c r="V505" s="7" t="s">
        <v>129</v>
      </c>
      <c r="W505" s="7" t="s">
        <v>61</v>
      </c>
      <c r="X505" s="5" t="str">
        <f ca="1">IF(INDIRECT("W505")="Clássico","12%",IF(INDIRECT("W505")="Premium","17%","-"))</f>
        <v>12%</v>
      </c>
      <c r="Y505" s="7" t="s">
        <v>62</v>
      </c>
    </row>
    <row r="506" spans="1:25" ht="50" customHeight="1" x14ac:dyDescent="0.25">
      <c r="A506" s="5" t="s">
        <v>2365</v>
      </c>
      <c r="B506" s="5" t="s">
        <v>2366</v>
      </c>
      <c r="C506" s="5" t="s">
        <v>2367</v>
      </c>
      <c r="D506" s="5"/>
      <c r="E506" s="6" t="s">
        <v>2368</v>
      </c>
      <c r="F506" s="6" t="s">
        <v>2369</v>
      </c>
      <c r="G506" s="5" t="s">
        <v>2369</v>
      </c>
      <c r="H506" s="7">
        <v>11</v>
      </c>
      <c r="I506" s="7">
        <v>35.49</v>
      </c>
      <c r="J506" s="7" t="s">
        <v>58</v>
      </c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 t="s">
        <v>59</v>
      </c>
      <c r="V506" s="7" t="s">
        <v>60</v>
      </c>
      <c r="W506" s="7" t="s">
        <v>61</v>
      </c>
      <c r="X506" s="5" t="str">
        <f ca="1">IF(INDIRECT("W506")="Clássico","13%",IF(INDIRECT("W506")="Premium","17%","-"))</f>
        <v>13%</v>
      </c>
      <c r="Y506" s="7" t="s">
        <v>62</v>
      </c>
    </row>
    <row r="507" spans="1:25" ht="50" customHeight="1" x14ac:dyDescent="0.25">
      <c r="A507" s="5" t="s">
        <v>2370</v>
      </c>
      <c r="B507" s="5" t="s">
        <v>2371</v>
      </c>
      <c r="C507" s="5" t="s">
        <v>2372</v>
      </c>
      <c r="D507" s="5"/>
      <c r="E507" s="6" t="s">
        <v>2373</v>
      </c>
      <c r="F507" s="6" t="s">
        <v>2374</v>
      </c>
      <c r="G507" s="5" t="s">
        <v>2374</v>
      </c>
      <c r="H507" s="7">
        <v>10</v>
      </c>
      <c r="I507" s="7">
        <v>57.49</v>
      </c>
      <c r="J507" s="7" t="s">
        <v>58</v>
      </c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 t="s">
        <v>59</v>
      </c>
      <c r="V507" s="7" t="s">
        <v>101</v>
      </c>
      <c r="W507" s="7" t="s">
        <v>61</v>
      </c>
      <c r="X507" s="5" t="str">
        <f ca="1">IF(INDIRECT("W507")="Clássico","13%",IF(INDIRECT("W507")="Premium","17%","-"))</f>
        <v>13%</v>
      </c>
      <c r="Y507" s="7" t="s">
        <v>62</v>
      </c>
    </row>
    <row r="508" spans="1:25" ht="50" customHeight="1" x14ac:dyDescent="0.25">
      <c r="A508" s="5" t="s">
        <v>2375</v>
      </c>
      <c r="B508" s="5" t="s">
        <v>2376</v>
      </c>
      <c r="C508" s="5" t="s">
        <v>2377</v>
      </c>
      <c r="D508" s="5"/>
      <c r="E508" s="6" t="s">
        <v>2378</v>
      </c>
      <c r="F508" s="6" t="s">
        <v>2379</v>
      </c>
      <c r="G508" s="5" t="s">
        <v>2379</v>
      </c>
      <c r="H508" s="7">
        <v>10</v>
      </c>
      <c r="I508" s="7">
        <v>30.49</v>
      </c>
      <c r="J508" s="7" t="s">
        <v>58</v>
      </c>
      <c r="K508" s="7">
        <v>25.9</v>
      </c>
      <c r="L508" s="7">
        <v>3</v>
      </c>
      <c r="M508" s="7"/>
      <c r="N508" s="7"/>
      <c r="O508" s="7"/>
      <c r="P508" s="7"/>
      <c r="Q508" s="7"/>
      <c r="R508" s="7"/>
      <c r="S508" s="7"/>
      <c r="T508" s="7"/>
      <c r="U508" s="7" t="s">
        <v>59</v>
      </c>
      <c r="V508" s="7" t="s">
        <v>60</v>
      </c>
      <c r="W508" s="7" t="s">
        <v>61</v>
      </c>
      <c r="X508" s="5" t="str">
        <f ca="1">IF(INDIRECT("W508")="Clássico","12%",IF(INDIRECT("W508")="Premium","17%","-"))</f>
        <v>12%</v>
      </c>
      <c r="Y508" s="7" t="s">
        <v>62</v>
      </c>
    </row>
    <row r="509" spans="1:25" ht="50" customHeight="1" x14ac:dyDescent="0.25">
      <c r="A509" s="5" t="s">
        <v>2380</v>
      </c>
      <c r="B509" s="5" t="s">
        <v>2381</v>
      </c>
      <c r="C509" s="5" t="s">
        <v>2382</v>
      </c>
      <c r="D509" s="5"/>
      <c r="E509" s="6" t="s">
        <v>2383</v>
      </c>
      <c r="F509" s="6" t="s">
        <v>2384</v>
      </c>
      <c r="G509" s="5" t="s">
        <v>2384</v>
      </c>
      <c r="H509" s="7">
        <v>12</v>
      </c>
      <c r="I509" s="7">
        <v>35.49</v>
      </c>
      <c r="J509" s="7" t="s">
        <v>58</v>
      </c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 t="s">
        <v>59</v>
      </c>
      <c r="V509" s="7" t="s">
        <v>60</v>
      </c>
      <c r="W509" s="7" t="s">
        <v>61</v>
      </c>
      <c r="X509" s="5" t="str">
        <f ca="1">IF(INDIRECT("W509")="Clássico","13%",IF(INDIRECT("W509")="Premium","17%","-"))</f>
        <v>13%</v>
      </c>
      <c r="Y509" s="7" t="s">
        <v>62</v>
      </c>
    </row>
    <row r="510" spans="1:25" ht="50" customHeight="1" x14ac:dyDescent="0.25">
      <c r="A510" s="5" t="s">
        <v>2385</v>
      </c>
      <c r="B510" s="5" t="s">
        <v>2386</v>
      </c>
      <c r="C510" s="5" t="s">
        <v>2387</v>
      </c>
      <c r="D510" s="5"/>
      <c r="E510" s="6" t="s">
        <v>2388</v>
      </c>
      <c r="F510" s="6" t="s">
        <v>2389</v>
      </c>
      <c r="G510" s="5" t="s">
        <v>2389</v>
      </c>
      <c r="H510" s="7">
        <v>6</v>
      </c>
      <c r="I510" s="7">
        <v>87.49</v>
      </c>
      <c r="J510" s="7" t="s">
        <v>58</v>
      </c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 t="s">
        <v>59</v>
      </c>
      <c r="V510" s="7" t="s">
        <v>129</v>
      </c>
      <c r="W510" s="7" t="s">
        <v>61</v>
      </c>
      <c r="X510" s="5" t="str">
        <f ca="1">IF(INDIRECT("W510")="Clássico","12.5%",IF(INDIRECT("W510")="Premium","17.5%","-"))</f>
        <v>12.5%</v>
      </c>
      <c r="Y510" s="7" t="s">
        <v>62</v>
      </c>
    </row>
    <row r="511" spans="1:25" ht="50" customHeight="1" x14ac:dyDescent="0.25">
      <c r="A511" s="5" t="s">
        <v>2390</v>
      </c>
      <c r="B511" s="5" t="s">
        <v>2391</v>
      </c>
      <c r="C511" s="5" t="s">
        <v>2392</v>
      </c>
      <c r="D511" s="5"/>
      <c r="E511" s="6" t="s">
        <v>2393</v>
      </c>
      <c r="F511" s="6" t="s">
        <v>2394</v>
      </c>
      <c r="G511" s="5" t="s">
        <v>2394</v>
      </c>
      <c r="H511" s="7">
        <v>3</v>
      </c>
      <c r="I511" s="7">
        <v>193.49</v>
      </c>
      <c r="J511" s="7" t="s">
        <v>58</v>
      </c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5" t="s">
        <v>59</v>
      </c>
      <c r="V511" s="7" t="s">
        <v>129</v>
      </c>
      <c r="W511" s="7" t="s">
        <v>84</v>
      </c>
      <c r="X511" s="5" t="str">
        <f ca="1">IF(INDIRECT("W511")="Clássico","14%",IF(INDIRECT("W511")="Premium","19%","-"))</f>
        <v>19%</v>
      </c>
      <c r="Y511" s="7" t="s">
        <v>62</v>
      </c>
    </row>
    <row r="512" spans="1:25" ht="50" customHeight="1" x14ac:dyDescent="0.25">
      <c r="A512" s="5" t="s">
        <v>2395</v>
      </c>
      <c r="B512" s="5" t="s">
        <v>2396</v>
      </c>
      <c r="C512" s="5" t="s">
        <v>2397</v>
      </c>
      <c r="D512" s="5"/>
      <c r="E512" s="6" t="s">
        <v>2398</v>
      </c>
      <c r="F512" s="6" t="s">
        <v>2399</v>
      </c>
      <c r="G512" s="5" t="s">
        <v>2399</v>
      </c>
      <c r="H512" s="7">
        <v>4</v>
      </c>
      <c r="I512" s="7">
        <v>35.49</v>
      </c>
      <c r="J512" s="7" t="s">
        <v>58</v>
      </c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 t="s">
        <v>59</v>
      </c>
      <c r="V512" s="7" t="s">
        <v>60</v>
      </c>
      <c r="W512" s="7" t="s">
        <v>61</v>
      </c>
      <c r="X512" s="5" t="str">
        <f ca="1">IF(INDIRECT("W512")="Clássico","13%",IF(INDIRECT("W512")="Premium","17%","-"))</f>
        <v>13%</v>
      </c>
      <c r="Y512" s="7" t="s">
        <v>62</v>
      </c>
    </row>
    <row r="513" spans="1:25" ht="50" customHeight="1" x14ac:dyDescent="0.25">
      <c r="A513" s="5" t="s">
        <v>2400</v>
      </c>
      <c r="B513" s="5" t="s">
        <v>2401</v>
      </c>
      <c r="C513" s="5" t="s">
        <v>2402</v>
      </c>
      <c r="D513" s="5"/>
      <c r="E513" s="6" t="s">
        <v>2403</v>
      </c>
      <c r="F513" s="6" t="s">
        <v>2404</v>
      </c>
      <c r="G513" s="5" t="s">
        <v>2404</v>
      </c>
      <c r="H513" s="7">
        <v>5</v>
      </c>
      <c r="I513" s="7">
        <v>26.49</v>
      </c>
      <c r="J513" s="7" t="s">
        <v>58</v>
      </c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 t="s">
        <v>59</v>
      </c>
      <c r="V513" s="7" t="s">
        <v>60</v>
      </c>
      <c r="W513" s="7" t="s">
        <v>61</v>
      </c>
      <c r="X513" s="5" t="str">
        <f ca="1">IF(INDIRECT("W513")="Clássico","14%",IF(INDIRECT("W513")="Premium","19%","-"))</f>
        <v>14%</v>
      </c>
      <c r="Y513" s="7" t="s">
        <v>62</v>
      </c>
    </row>
    <row r="514" spans="1:25" ht="50" customHeight="1" x14ac:dyDescent="0.25">
      <c r="A514" s="5" t="s">
        <v>2405</v>
      </c>
      <c r="B514" s="5" t="s">
        <v>2406</v>
      </c>
      <c r="C514" s="5" t="s">
        <v>2407</v>
      </c>
      <c r="D514" s="5"/>
      <c r="E514" s="6" t="s">
        <v>2408</v>
      </c>
      <c r="F514" s="6" t="s">
        <v>2409</v>
      </c>
      <c r="G514" s="5" t="s">
        <v>2409</v>
      </c>
      <c r="H514" s="7">
        <v>10</v>
      </c>
      <c r="I514" s="7">
        <v>89.49</v>
      </c>
      <c r="J514" s="7" t="s">
        <v>58</v>
      </c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 t="s">
        <v>59</v>
      </c>
      <c r="V514" s="7" t="s">
        <v>129</v>
      </c>
      <c r="W514" s="7" t="s">
        <v>61</v>
      </c>
      <c r="X514" s="5" t="str">
        <f ca="1">IF(INDIRECT("W514")="Clássico","14%",IF(INDIRECT("W514")="Premium","19%","-"))</f>
        <v>14%</v>
      </c>
      <c r="Y514" s="7" t="s">
        <v>62</v>
      </c>
    </row>
    <row r="515" spans="1:25" ht="50" customHeight="1" x14ac:dyDescent="0.25">
      <c r="A515" s="5" t="s">
        <v>2410</v>
      </c>
      <c r="B515" s="5" t="s">
        <v>2411</v>
      </c>
      <c r="C515" s="5" t="s">
        <v>2412</v>
      </c>
      <c r="D515" s="5"/>
      <c r="E515" s="6" t="s">
        <v>286</v>
      </c>
      <c r="F515" s="6" t="s">
        <v>2413</v>
      </c>
      <c r="G515" s="5" t="s">
        <v>2413</v>
      </c>
      <c r="H515" s="7">
        <v>100</v>
      </c>
      <c r="I515" s="7">
        <v>59.49</v>
      </c>
      <c r="J515" s="7" t="s">
        <v>58</v>
      </c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5" t="s">
        <v>59</v>
      </c>
      <c r="V515" s="7" t="s">
        <v>60</v>
      </c>
      <c r="W515" s="7" t="s">
        <v>61</v>
      </c>
      <c r="X515" s="5" t="str">
        <f ca="1">IF(INDIRECT("W515")="Clássico","14%",IF(INDIRECT("W515")="Premium","19%","-"))</f>
        <v>14%</v>
      </c>
      <c r="Y515" s="7" t="s">
        <v>62</v>
      </c>
    </row>
    <row r="516" spans="1:25" ht="50" customHeight="1" x14ac:dyDescent="0.25">
      <c r="A516" s="5" t="s">
        <v>2414</v>
      </c>
      <c r="B516" s="5" t="s">
        <v>2415</v>
      </c>
      <c r="C516" s="5" t="s">
        <v>2416</v>
      </c>
      <c r="D516" s="5"/>
      <c r="E516" s="6" t="s">
        <v>2417</v>
      </c>
      <c r="F516" s="6" t="s">
        <v>2418</v>
      </c>
      <c r="G516" s="5" t="s">
        <v>2418</v>
      </c>
      <c r="H516" s="7">
        <v>95</v>
      </c>
      <c r="I516" s="7">
        <v>57.49</v>
      </c>
      <c r="J516" s="7" t="s">
        <v>58</v>
      </c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 t="s">
        <v>59</v>
      </c>
      <c r="V516" s="7" t="s">
        <v>60</v>
      </c>
      <c r="W516" s="7" t="s">
        <v>61</v>
      </c>
      <c r="X516" s="5" t="str">
        <f ca="1">IF(INDIRECT("W516")="Clássico","12%",IF(INDIRECT("W516")="Premium","17%","-"))</f>
        <v>12%</v>
      </c>
      <c r="Y516" s="7" t="s">
        <v>62</v>
      </c>
    </row>
    <row r="517" spans="1:25" ht="50" customHeight="1" x14ac:dyDescent="0.25">
      <c r="A517" s="5" t="s">
        <v>2419</v>
      </c>
      <c r="B517" s="5" t="s">
        <v>2420</v>
      </c>
      <c r="C517" s="5" t="s">
        <v>2421</v>
      </c>
      <c r="D517" s="5"/>
      <c r="E517" s="6" t="s">
        <v>2422</v>
      </c>
      <c r="F517" s="6" t="s">
        <v>2423</v>
      </c>
      <c r="G517" s="5" t="s">
        <v>2423</v>
      </c>
      <c r="H517" s="7">
        <v>15</v>
      </c>
      <c r="I517" s="7">
        <v>30.49</v>
      </c>
      <c r="J517" s="7" t="s">
        <v>58</v>
      </c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 t="s">
        <v>59</v>
      </c>
      <c r="V517" s="7" t="s">
        <v>60</v>
      </c>
      <c r="W517" s="7" t="s">
        <v>61</v>
      </c>
      <c r="X517" s="5" t="str">
        <f ca="1">IF(INDIRECT("W517")="Clássico","13%",IF(INDIRECT("W517")="Premium","17%","-"))</f>
        <v>13%</v>
      </c>
      <c r="Y517" s="7" t="s">
        <v>62</v>
      </c>
    </row>
    <row r="518" spans="1:25" ht="50" customHeight="1" x14ac:dyDescent="0.25">
      <c r="A518" s="5" t="s">
        <v>2424</v>
      </c>
      <c r="B518" s="5" t="s">
        <v>2425</v>
      </c>
      <c r="C518" s="5" t="s">
        <v>2426</v>
      </c>
      <c r="D518" s="5"/>
      <c r="E518" s="6" t="s">
        <v>2427</v>
      </c>
      <c r="F518" s="6" t="s">
        <v>2428</v>
      </c>
      <c r="G518" s="5" t="s">
        <v>2428</v>
      </c>
      <c r="H518" s="7">
        <v>1</v>
      </c>
      <c r="I518" s="7">
        <v>30.49</v>
      </c>
      <c r="J518" s="7" t="s">
        <v>58</v>
      </c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 t="s">
        <v>59</v>
      </c>
      <c r="V518" s="7" t="s">
        <v>60</v>
      </c>
      <c r="W518" s="7" t="s">
        <v>61</v>
      </c>
      <c r="X518" s="5" t="str">
        <f ca="1">IF(INDIRECT("W518")="Clássico","13%",IF(INDIRECT("W518")="Premium","17%","-"))</f>
        <v>13%</v>
      </c>
      <c r="Y518" s="7" t="s">
        <v>62</v>
      </c>
    </row>
    <row r="519" spans="1:25" ht="50" customHeight="1" x14ac:dyDescent="0.25">
      <c r="A519" s="5" t="s">
        <v>2429</v>
      </c>
      <c r="B519" s="5" t="s">
        <v>2430</v>
      </c>
      <c r="C519" s="5" t="s">
        <v>2431</v>
      </c>
      <c r="D519" s="5"/>
      <c r="E519" s="6" t="s">
        <v>2432</v>
      </c>
      <c r="F519" s="6" t="s">
        <v>2433</v>
      </c>
      <c r="G519" s="5" t="s">
        <v>2433</v>
      </c>
      <c r="H519" s="7">
        <v>8</v>
      </c>
      <c r="I519" s="7">
        <v>26.49</v>
      </c>
      <c r="J519" s="7" t="s">
        <v>58</v>
      </c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 t="s">
        <v>59</v>
      </c>
      <c r="V519" s="7" t="s">
        <v>60</v>
      </c>
      <c r="W519" s="7" t="s">
        <v>61</v>
      </c>
      <c r="X519" s="5" t="str">
        <f ca="1">IF(INDIRECT("W519")="Clássico","13%",IF(INDIRECT("W519")="Premium","17%","-"))</f>
        <v>13%</v>
      </c>
      <c r="Y519" s="7" t="s">
        <v>62</v>
      </c>
    </row>
    <row r="520" spans="1:25" ht="50" customHeight="1" x14ac:dyDescent="0.25">
      <c r="A520" s="5" t="s">
        <v>2434</v>
      </c>
      <c r="B520" s="5" t="s">
        <v>2435</v>
      </c>
      <c r="C520" s="5" t="s">
        <v>2436</v>
      </c>
      <c r="D520" s="5"/>
      <c r="E520" s="6" t="s">
        <v>2437</v>
      </c>
      <c r="F520" s="6" t="s">
        <v>2438</v>
      </c>
      <c r="G520" s="5" t="s">
        <v>2438</v>
      </c>
      <c r="H520" s="7">
        <v>8</v>
      </c>
      <c r="I520" s="7">
        <v>26.49</v>
      </c>
      <c r="J520" s="7" t="s">
        <v>58</v>
      </c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 t="s">
        <v>59</v>
      </c>
      <c r="V520" s="7" t="s">
        <v>60</v>
      </c>
      <c r="W520" s="7" t="s">
        <v>61</v>
      </c>
      <c r="X520" s="5" t="str">
        <f ca="1">IF(INDIRECT("W520")="Clássico","13%",IF(INDIRECT("W520")="Premium","17%","-"))</f>
        <v>13%</v>
      </c>
      <c r="Y520" s="7" t="s">
        <v>62</v>
      </c>
    </row>
    <row r="521" spans="1:25" ht="50" customHeight="1" x14ac:dyDescent="0.25">
      <c r="A521" s="5" t="s">
        <v>2439</v>
      </c>
      <c r="B521" s="5" t="s">
        <v>2440</v>
      </c>
      <c r="C521" s="5" t="s">
        <v>2441</v>
      </c>
      <c r="D521" s="5"/>
      <c r="E521" s="6" t="s">
        <v>2442</v>
      </c>
      <c r="F521" s="6" t="s">
        <v>2443</v>
      </c>
      <c r="G521" s="5" t="s">
        <v>2443</v>
      </c>
      <c r="H521" s="7">
        <v>12</v>
      </c>
      <c r="I521" s="7">
        <v>26.49</v>
      </c>
      <c r="J521" s="7" t="s">
        <v>58</v>
      </c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 t="s">
        <v>59</v>
      </c>
      <c r="V521" s="7" t="s">
        <v>101</v>
      </c>
      <c r="W521" s="7" t="s">
        <v>61</v>
      </c>
      <c r="X521" s="5" t="str">
        <f ca="1">IF(INDIRECT("W521")="Clássico","13%",IF(INDIRECT("W521")="Premium","17%","-"))</f>
        <v>13%</v>
      </c>
      <c r="Y521" s="7" t="s">
        <v>62</v>
      </c>
    </row>
    <row r="522" spans="1:25" ht="50" customHeight="1" x14ac:dyDescent="0.25">
      <c r="A522" s="5" t="s">
        <v>2444</v>
      </c>
      <c r="B522" s="5" t="s">
        <v>2445</v>
      </c>
      <c r="C522" s="5" t="s">
        <v>2446</v>
      </c>
      <c r="D522" s="5"/>
      <c r="E522" s="6" t="s">
        <v>2447</v>
      </c>
      <c r="F522" s="6" t="s">
        <v>2448</v>
      </c>
      <c r="G522" s="5" t="s">
        <v>2448</v>
      </c>
      <c r="H522" s="7">
        <v>12</v>
      </c>
      <c r="I522" s="7">
        <v>26.49</v>
      </c>
      <c r="J522" s="7" t="s">
        <v>58</v>
      </c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 t="s">
        <v>59</v>
      </c>
      <c r="V522" s="7" t="s">
        <v>101</v>
      </c>
      <c r="W522" s="7" t="s">
        <v>61</v>
      </c>
      <c r="X522" s="5" t="str">
        <f ca="1">IF(INDIRECT("W522")="Clássico","13%",IF(INDIRECT("W522")="Premium","17%","-"))</f>
        <v>13%</v>
      </c>
      <c r="Y522" s="7" t="s">
        <v>62</v>
      </c>
    </row>
    <row r="523" spans="1:25" ht="50" customHeight="1" x14ac:dyDescent="0.25">
      <c r="A523" s="5" t="s">
        <v>2449</v>
      </c>
      <c r="B523" s="5" t="s">
        <v>2450</v>
      </c>
      <c r="C523" s="5" t="s">
        <v>2451</v>
      </c>
      <c r="D523" s="5"/>
      <c r="E523" s="6" t="s">
        <v>2452</v>
      </c>
      <c r="F523" s="6" t="s">
        <v>2453</v>
      </c>
      <c r="G523" s="5" t="s">
        <v>2453</v>
      </c>
      <c r="H523" s="7">
        <v>12</v>
      </c>
      <c r="I523" s="7">
        <v>26.49</v>
      </c>
      <c r="J523" s="7" t="s">
        <v>58</v>
      </c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 t="s">
        <v>59</v>
      </c>
      <c r="V523" s="7" t="s">
        <v>101</v>
      </c>
      <c r="W523" s="7" t="s">
        <v>61</v>
      </c>
      <c r="X523" s="5" t="str">
        <f ca="1">IF(INDIRECT("W523")="Clássico","13%",IF(INDIRECT("W523")="Premium","17%","-"))</f>
        <v>13%</v>
      </c>
      <c r="Y523" s="7" t="s">
        <v>62</v>
      </c>
    </row>
    <row r="524" spans="1:25" ht="50" customHeight="1" x14ac:dyDescent="0.25">
      <c r="A524" s="5" t="s">
        <v>2454</v>
      </c>
      <c r="B524" s="5" t="s">
        <v>2455</v>
      </c>
      <c r="C524" s="5" t="s">
        <v>2456</v>
      </c>
      <c r="D524" s="5"/>
      <c r="E524" s="6" t="s">
        <v>2457</v>
      </c>
      <c r="F524" s="6" t="s">
        <v>2458</v>
      </c>
      <c r="G524" s="5" t="s">
        <v>2458</v>
      </c>
      <c r="H524" s="7">
        <v>36</v>
      </c>
      <c r="I524" s="7">
        <v>26.49</v>
      </c>
      <c r="J524" s="7" t="s">
        <v>58</v>
      </c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 t="s">
        <v>59</v>
      </c>
      <c r="V524" s="7" t="s">
        <v>101</v>
      </c>
      <c r="W524" s="7" t="s">
        <v>61</v>
      </c>
      <c r="X524" s="5" t="str">
        <f ca="1">IF(INDIRECT("W524")="Clássico","13%",IF(INDIRECT("W524")="Premium","17%","-"))</f>
        <v>13%</v>
      </c>
      <c r="Y524" s="7" t="s">
        <v>62</v>
      </c>
    </row>
    <row r="525" spans="1:25" ht="50" customHeight="1" x14ac:dyDescent="0.25">
      <c r="A525" s="5" t="s">
        <v>1631</v>
      </c>
      <c r="B525" s="5" t="s">
        <v>2459</v>
      </c>
      <c r="C525" s="5" t="s">
        <v>1633</v>
      </c>
      <c r="D525" s="5"/>
      <c r="E525" s="6" t="s">
        <v>1634</v>
      </c>
      <c r="F525" s="6" t="s">
        <v>1635</v>
      </c>
      <c r="G525" s="5" t="s">
        <v>1635</v>
      </c>
      <c r="H525" s="7">
        <v>35</v>
      </c>
      <c r="I525" s="7">
        <v>33.49</v>
      </c>
      <c r="J525" s="7" t="s">
        <v>58</v>
      </c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 t="s">
        <v>59</v>
      </c>
      <c r="V525" s="7" t="s">
        <v>60</v>
      </c>
      <c r="W525" s="7" t="s">
        <v>61</v>
      </c>
      <c r="X525" s="5" t="str">
        <f ca="1">IF(INDIRECT("W525")="Clássico","13%",IF(INDIRECT("W525")="Premium","17%","-"))</f>
        <v>13%</v>
      </c>
      <c r="Y525" s="7" t="s">
        <v>62</v>
      </c>
    </row>
    <row r="526" spans="1:25" ht="50" customHeight="1" x14ac:dyDescent="0.25">
      <c r="A526" s="5" t="s">
        <v>2460</v>
      </c>
      <c r="B526" s="5" t="s">
        <v>2461</v>
      </c>
      <c r="C526" s="5" t="s">
        <v>2462</v>
      </c>
      <c r="D526" s="5"/>
      <c r="E526" s="6" t="s">
        <v>2463</v>
      </c>
      <c r="F526" s="6" t="s">
        <v>2464</v>
      </c>
      <c r="G526" s="5" t="s">
        <v>2464</v>
      </c>
      <c r="H526" s="7">
        <v>3</v>
      </c>
      <c r="I526" s="7">
        <v>30.49</v>
      </c>
      <c r="J526" s="7" t="s">
        <v>58</v>
      </c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 t="s">
        <v>59</v>
      </c>
      <c r="V526" s="7" t="s">
        <v>60</v>
      </c>
      <c r="W526" s="7" t="s">
        <v>61</v>
      </c>
      <c r="X526" s="5" t="str">
        <f ca="1">IF(INDIRECT("W526")="Clássico","13%",IF(INDIRECT("W526")="Premium","17%","-"))</f>
        <v>13%</v>
      </c>
      <c r="Y526" s="7" t="s">
        <v>62</v>
      </c>
    </row>
    <row r="527" spans="1:25" ht="50" customHeight="1" x14ac:dyDescent="0.25">
      <c r="A527" s="5" t="s">
        <v>2465</v>
      </c>
      <c r="B527" s="5" t="s">
        <v>2466</v>
      </c>
      <c r="C527" s="5" t="s">
        <v>2467</v>
      </c>
      <c r="D527" s="5"/>
      <c r="E527" s="6" t="s">
        <v>2468</v>
      </c>
      <c r="F527" s="6" t="s">
        <v>2469</v>
      </c>
      <c r="G527" s="5" t="s">
        <v>2469</v>
      </c>
      <c r="H527" s="7">
        <v>3</v>
      </c>
      <c r="I527" s="7">
        <v>39.49</v>
      </c>
      <c r="J527" s="7" t="s">
        <v>58</v>
      </c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 t="s">
        <v>59</v>
      </c>
      <c r="V527" s="7" t="s">
        <v>60</v>
      </c>
      <c r="W527" s="7" t="s">
        <v>61</v>
      </c>
      <c r="X527" s="5" t="str">
        <f ca="1">IF(INDIRECT("W527")="Clássico","13%",IF(INDIRECT("W527")="Premium","17%","-"))</f>
        <v>13%</v>
      </c>
      <c r="Y527" s="7" t="s">
        <v>62</v>
      </c>
    </row>
    <row r="528" spans="1:25" ht="50" customHeight="1" x14ac:dyDescent="0.25">
      <c r="A528" s="5" t="s">
        <v>2470</v>
      </c>
      <c r="B528" s="5" t="s">
        <v>2471</v>
      </c>
      <c r="C528" s="5" t="s">
        <v>2472</v>
      </c>
      <c r="D528" s="5"/>
      <c r="E528" s="6" t="s">
        <v>2473</v>
      </c>
      <c r="F528" s="6" t="s">
        <v>2474</v>
      </c>
      <c r="G528" s="5" t="s">
        <v>2474</v>
      </c>
      <c r="H528" s="7">
        <v>5</v>
      </c>
      <c r="I528" s="7">
        <v>26.49</v>
      </c>
      <c r="J528" s="7" t="s">
        <v>58</v>
      </c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 t="s">
        <v>59</v>
      </c>
      <c r="V528" s="7" t="s">
        <v>60</v>
      </c>
      <c r="W528" s="7" t="s">
        <v>61</v>
      </c>
      <c r="X528" s="5" t="str">
        <f ca="1">IF(INDIRECT("W528")="Clássico","13%",IF(INDIRECT("W528")="Premium","17%","-"))</f>
        <v>13%</v>
      </c>
      <c r="Y528" s="7" t="s">
        <v>62</v>
      </c>
    </row>
    <row r="529" spans="1:25" ht="50" customHeight="1" x14ac:dyDescent="0.25">
      <c r="A529" s="5" t="s">
        <v>2475</v>
      </c>
      <c r="B529" s="5" t="s">
        <v>2476</v>
      </c>
      <c r="C529" s="5" t="s">
        <v>2477</v>
      </c>
      <c r="D529" s="5"/>
      <c r="E529" s="6" t="s">
        <v>2478</v>
      </c>
      <c r="F529" s="6" t="s">
        <v>2479</v>
      </c>
      <c r="G529" s="5" t="s">
        <v>2479</v>
      </c>
      <c r="H529" s="7">
        <v>6</v>
      </c>
      <c r="I529" s="7">
        <v>30.49</v>
      </c>
      <c r="J529" s="7" t="s">
        <v>58</v>
      </c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 t="s">
        <v>59</v>
      </c>
      <c r="V529" s="7" t="s">
        <v>60</v>
      </c>
      <c r="W529" s="7" t="s">
        <v>61</v>
      </c>
      <c r="X529" s="5" t="str">
        <f ca="1">IF(INDIRECT("W529")="Clássico","13%",IF(INDIRECT("W529")="Premium","17%","-"))</f>
        <v>13%</v>
      </c>
      <c r="Y529" s="7" t="s">
        <v>62</v>
      </c>
    </row>
    <row r="530" spans="1:25" ht="50" customHeight="1" x14ac:dyDescent="0.25">
      <c r="A530" s="5" t="s">
        <v>2480</v>
      </c>
      <c r="B530" s="5" t="s">
        <v>2481</v>
      </c>
      <c r="C530" s="5" t="s">
        <v>2482</v>
      </c>
      <c r="D530" s="5"/>
      <c r="E530" s="6" t="s">
        <v>2483</v>
      </c>
      <c r="F530" s="6" t="s">
        <v>2484</v>
      </c>
      <c r="G530" s="5" t="s">
        <v>2484</v>
      </c>
      <c r="H530" s="7">
        <v>8</v>
      </c>
      <c r="I530" s="7">
        <v>26.49</v>
      </c>
      <c r="J530" s="7" t="s">
        <v>58</v>
      </c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 t="s">
        <v>59</v>
      </c>
      <c r="V530" s="7" t="s">
        <v>60</v>
      </c>
      <c r="W530" s="7" t="s">
        <v>61</v>
      </c>
      <c r="X530" s="5" t="str">
        <f ca="1">IF(INDIRECT("W530")="Clássico","13%",IF(INDIRECT("W530")="Premium","17%","-"))</f>
        <v>13%</v>
      </c>
      <c r="Y530" s="7" t="s">
        <v>62</v>
      </c>
    </row>
    <row r="531" spans="1:25" ht="50" customHeight="1" x14ac:dyDescent="0.25">
      <c r="A531" s="5" t="s">
        <v>1800</v>
      </c>
      <c r="B531" s="5" t="s">
        <v>2485</v>
      </c>
      <c r="C531" s="5" t="s">
        <v>1802</v>
      </c>
      <c r="D531" s="5"/>
      <c r="E531" s="6" t="s">
        <v>1803</v>
      </c>
      <c r="F531" s="6" t="s">
        <v>2486</v>
      </c>
      <c r="G531" s="5" t="s">
        <v>2486</v>
      </c>
      <c r="H531" s="7">
        <v>6</v>
      </c>
      <c r="I531" s="7">
        <v>33.49</v>
      </c>
      <c r="J531" s="7" t="s">
        <v>58</v>
      </c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 t="s">
        <v>59</v>
      </c>
      <c r="V531" s="7" t="s">
        <v>60</v>
      </c>
      <c r="W531" s="7" t="s">
        <v>61</v>
      </c>
      <c r="X531" s="5" t="str">
        <f ca="1">IF(INDIRECT("W531")="Clássico","13%",IF(INDIRECT("W531")="Premium","17%","-"))</f>
        <v>13%</v>
      </c>
      <c r="Y531" s="7" t="s">
        <v>62</v>
      </c>
    </row>
    <row r="532" spans="1:25" ht="50" customHeight="1" x14ac:dyDescent="0.25">
      <c r="A532" s="5" t="s">
        <v>2487</v>
      </c>
      <c r="B532" s="5" t="s">
        <v>2488</v>
      </c>
      <c r="C532" s="5" t="s">
        <v>2489</v>
      </c>
      <c r="D532" s="5"/>
      <c r="E532" s="6" t="s">
        <v>2490</v>
      </c>
      <c r="F532" s="6" t="s">
        <v>2491</v>
      </c>
      <c r="G532" s="5" t="s">
        <v>2491</v>
      </c>
      <c r="H532" s="7">
        <v>3</v>
      </c>
      <c r="I532" s="7">
        <v>33.49</v>
      </c>
      <c r="J532" s="7" t="s">
        <v>58</v>
      </c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 t="s">
        <v>59</v>
      </c>
      <c r="V532" s="7" t="s">
        <v>60</v>
      </c>
      <c r="W532" s="7" t="s">
        <v>61</v>
      </c>
      <c r="X532" s="5" t="str">
        <f ca="1">IF(INDIRECT("W532")="Clássico","13%",IF(INDIRECT("W532")="Premium","17%","-"))</f>
        <v>13%</v>
      </c>
      <c r="Y532" s="7" t="s">
        <v>62</v>
      </c>
    </row>
    <row r="533" spans="1:25" ht="50" customHeight="1" x14ac:dyDescent="0.25">
      <c r="A533" s="5" t="s">
        <v>2492</v>
      </c>
      <c r="B533" s="5" t="s">
        <v>2493</v>
      </c>
      <c r="C533" s="5" t="s">
        <v>2494</v>
      </c>
      <c r="D533" s="5"/>
      <c r="E533" s="6" t="s">
        <v>2495</v>
      </c>
      <c r="F533" s="6" t="s">
        <v>2496</v>
      </c>
      <c r="G533" s="5" t="s">
        <v>2496</v>
      </c>
      <c r="H533" s="7">
        <v>5</v>
      </c>
      <c r="I533" s="7">
        <v>26.49</v>
      </c>
      <c r="J533" s="7" t="s">
        <v>58</v>
      </c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 t="s">
        <v>59</v>
      </c>
      <c r="V533" s="7" t="s">
        <v>60</v>
      </c>
      <c r="W533" s="7" t="s">
        <v>61</v>
      </c>
      <c r="X533" s="5" t="str">
        <f ca="1">IF(INDIRECT("W533")="Clássico","13%",IF(INDIRECT("W533")="Premium","17%","-"))</f>
        <v>13%</v>
      </c>
      <c r="Y533" s="7" t="s">
        <v>62</v>
      </c>
    </row>
    <row r="534" spans="1:25" ht="50" customHeight="1" x14ac:dyDescent="0.25">
      <c r="A534" s="5" t="s">
        <v>2497</v>
      </c>
      <c r="B534" s="5" t="s">
        <v>2498</v>
      </c>
      <c r="C534" s="5" t="s">
        <v>2499</v>
      </c>
      <c r="D534" s="5"/>
      <c r="E534" s="6" t="s">
        <v>2500</v>
      </c>
      <c r="F534" s="6" t="s">
        <v>2501</v>
      </c>
      <c r="G534" s="5" t="s">
        <v>2501</v>
      </c>
      <c r="H534" s="7">
        <v>4</v>
      </c>
      <c r="I534" s="7">
        <v>33.49</v>
      </c>
      <c r="J534" s="7" t="s">
        <v>58</v>
      </c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 t="s">
        <v>59</v>
      </c>
      <c r="V534" s="7" t="s">
        <v>60</v>
      </c>
      <c r="W534" s="7" t="s">
        <v>61</v>
      </c>
      <c r="X534" s="5" t="str">
        <f ca="1">IF(INDIRECT("W534")="Clássico","13%",IF(INDIRECT("W534")="Premium","17%","-"))</f>
        <v>13%</v>
      </c>
      <c r="Y534" s="7" t="s">
        <v>62</v>
      </c>
    </row>
    <row r="535" spans="1:25" ht="50" customHeight="1" x14ac:dyDescent="0.25">
      <c r="A535" s="5" t="s">
        <v>2502</v>
      </c>
      <c r="B535" s="5" t="s">
        <v>2503</v>
      </c>
      <c r="C535" s="5" t="s">
        <v>2504</v>
      </c>
      <c r="D535" s="5"/>
      <c r="E535" s="6" t="s">
        <v>2505</v>
      </c>
      <c r="F535" s="6" t="s">
        <v>2506</v>
      </c>
      <c r="G535" s="5" t="s">
        <v>2506</v>
      </c>
      <c r="H535" s="7">
        <v>15</v>
      </c>
      <c r="I535" s="7">
        <v>26.49</v>
      </c>
      <c r="J535" s="7" t="s">
        <v>58</v>
      </c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 t="s">
        <v>59</v>
      </c>
      <c r="V535" s="7" t="s">
        <v>60</v>
      </c>
      <c r="W535" s="7" t="s">
        <v>61</v>
      </c>
      <c r="X535" s="5" t="str">
        <f ca="1">IF(INDIRECT("W535")="Clássico","13%",IF(INDIRECT("W535")="Premium","17%","-"))</f>
        <v>13%</v>
      </c>
      <c r="Y535" s="7" t="s">
        <v>62</v>
      </c>
    </row>
    <row r="536" spans="1:25" ht="50" customHeight="1" x14ac:dyDescent="0.25">
      <c r="A536" s="5" t="s">
        <v>1615</v>
      </c>
      <c r="B536" s="5" t="s">
        <v>2507</v>
      </c>
      <c r="C536" s="5" t="s">
        <v>1787</v>
      </c>
      <c r="D536" s="5"/>
      <c r="E536" s="6" t="s">
        <v>1618</v>
      </c>
      <c r="F536" s="6" t="s">
        <v>2508</v>
      </c>
      <c r="G536" s="5" t="s">
        <v>2508</v>
      </c>
      <c r="H536" s="7">
        <v>15</v>
      </c>
      <c r="I536" s="7">
        <v>22.49</v>
      </c>
      <c r="J536" s="7" t="s">
        <v>58</v>
      </c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 t="s">
        <v>59</v>
      </c>
      <c r="V536" s="7" t="s">
        <v>60</v>
      </c>
      <c r="W536" s="7" t="s">
        <v>61</v>
      </c>
      <c r="X536" s="5" t="str">
        <f ca="1">IF(INDIRECT("W536")="Clássico","13%",IF(INDIRECT("W536")="Premium","17%","-"))</f>
        <v>13%</v>
      </c>
      <c r="Y536" s="7" t="s">
        <v>62</v>
      </c>
    </row>
    <row r="537" spans="1:25" ht="50" customHeight="1" x14ac:dyDescent="0.25">
      <c r="A537" s="5" t="s">
        <v>2509</v>
      </c>
      <c r="B537" s="5" t="s">
        <v>2510</v>
      </c>
      <c r="C537" s="5" t="s">
        <v>2511</v>
      </c>
      <c r="D537" s="5"/>
      <c r="E537" s="6" t="s">
        <v>2512</v>
      </c>
      <c r="F537" s="6" t="s">
        <v>2513</v>
      </c>
      <c r="G537" s="5" t="s">
        <v>2513</v>
      </c>
      <c r="H537" s="7">
        <v>15</v>
      </c>
      <c r="I537" s="7">
        <v>41.49</v>
      </c>
      <c r="J537" s="7" t="s">
        <v>58</v>
      </c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 t="s">
        <v>59</v>
      </c>
      <c r="V537" s="7" t="s">
        <v>60</v>
      </c>
      <c r="W537" s="7" t="s">
        <v>61</v>
      </c>
      <c r="X537" s="5" t="str">
        <f ca="1">IF(INDIRECT("W537")="Clássico","13%",IF(INDIRECT("W537")="Premium","17%","-"))</f>
        <v>13%</v>
      </c>
      <c r="Y537" s="7" t="s">
        <v>62</v>
      </c>
    </row>
    <row r="538" spans="1:25" ht="50" customHeight="1" x14ac:dyDescent="0.25">
      <c r="A538" s="5" t="s">
        <v>2514</v>
      </c>
      <c r="B538" s="5" t="s">
        <v>2515</v>
      </c>
      <c r="C538" s="5" t="s">
        <v>2516</v>
      </c>
      <c r="D538" s="5"/>
      <c r="E538" s="6" t="s">
        <v>2517</v>
      </c>
      <c r="F538" s="6" t="s">
        <v>2518</v>
      </c>
      <c r="G538" s="5" t="s">
        <v>2518</v>
      </c>
      <c r="H538" s="7">
        <v>4</v>
      </c>
      <c r="I538" s="7">
        <v>41.49</v>
      </c>
      <c r="J538" s="7" t="s">
        <v>58</v>
      </c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 t="s">
        <v>59</v>
      </c>
      <c r="V538" s="7" t="s">
        <v>60</v>
      </c>
      <c r="W538" s="7" t="s">
        <v>61</v>
      </c>
      <c r="X538" s="5" t="str">
        <f ca="1">IF(INDIRECT("W538")="Clássico","13%",IF(INDIRECT("W538")="Premium","17%","-"))</f>
        <v>13%</v>
      </c>
      <c r="Y538" s="7" t="s">
        <v>62</v>
      </c>
    </row>
    <row r="539" spans="1:25" ht="50" customHeight="1" x14ac:dyDescent="0.25">
      <c r="A539" s="5" t="s">
        <v>2519</v>
      </c>
      <c r="B539" s="5" t="s">
        <v>2520</v>
      </c>
      <c r="C539" s="5" t="s">
        <v>2521</v>
      </c>
      <c r="D539" s="5"/>
      <c r="E539" s="6" t="s">
        <v>2522</v>
      </c>
      <c r="F539" s="6" t="s">
        <v>2523</v>
      </c>
      <c r="G539" s="5" t="s">
        <v>2523</v>
      </c>
      <c r="H539" s="7">
        <v>4</v>
      </c>
      <c r="I539" s="7">
        <v>41.49</v>
      </c>
      <c r="J539" s="7" t="s">
        <v>58</v>
      </c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 t="s">
        <v>59</v>
      </c>
      <c r="V539" s="7" t="s">
        <v>60</v>
      </c>
      <c r="W539" s="7" t="s">
        <v>61</v>
      </c>
      <c r="X539" s="5" t="str">
        <f ca="1">IF(INDIRECT("W539")="Clássico","13%",IF(INDIRECT("W539")="Premium","17%","-"))</f>
        <v>13%</v>
      </c>
      <c r="Y539" s="7" t="s">
        <v>62</v>
      </c>
    </row>
    <row r="540" spans="1:25" ht="50" customHeight="1" x14ac:dyDescent="0.25">
      <c r="A540" s="5" t="s">
        <v>2524</v>
      </c>
      <c r="B540" s="5" t="s">
        <v>2525</v>
      </c>
      <c r="C540" s="5" t="s">
        <v>2526</v>
      </c>
      <c r="D540" s="5"/>
      <c r="E540" s="6" t="s">
        <v>2527</v>
      </c>
      <c r="F540" s="6" t="s">
        <v>2528</v>
      </c>
      <c r="G540" s="5" t="s">
        <v>2528</v>
      </c>
      <c r="H540" s="7">
        <v>3</v>
      </c>
      <c r="I540" s="7">
        <v>41.49</v>
      </c>
      <c r="J540" s="7" t="s">
        <v>58</v>
      </c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 t="s">
        <v>59</v>
      </c>
      <c r="V540" s="7" t="s">
        <v>60</v>
      </c>
      <c r="W540" s="7" t="s">
        <v>61</v>
      </c>
      <c r="X540" s="5" t="str">
        <f ca="1">IF(INDIRECT("W540")="Clássico","13%",IF(INDIRECT("W540")="Premium","17%","-"))</f>
        <v>13%</v>
      </c>
      <c r="Y540" s="7" t="s">
        <v>62</v>
      </c>
    </row>
    <row r="541" spans="1:25" ht="50" customHeight="1" x14ac:dyDescent="0.25">
      <c r="A541" s="5" t="s">
        <v>2529</v>
      </c>
      <c r="B541" s="5" t="s">
        <v>2530</v>
      </c>
      <c r="C541" s="5" t="s">
        <v>2531</v>
      </c>
      <c r="D541" s="5"/>
      <c r="E541" s="6" t="s">
        <v>2532</v>
      </c>
      <c r="F541" s="6" t="s">
        <v>2533</v>
      </c>
      <c r="G541" s="5" t="s">
        <v>2533</v>
      </c>
      <c r="H541" s="7">
        <v>6</v>
      </c>
      <c r="I541" s="7">
        <v>22.49</v>
      </c>
      <c r="J541" s="7" t="s">
        <v>58</v>
      </c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 t="s">
        <v>59</v>
      </c>
      <c r="V541" s="7" t="s">
        <v>60</v>
      </c>
      <c r="W541" s="7" t="s">
        <v>61</v>
      </c>
      <c r="X541" s="5" t="str">
        <f ca="1">IF(INDIRECT("W541")="Clássico","13%",IF(INDIRECT("W541")="Premium","17%","-"))</f>
        <v>13%</v>
      </c>
      <c r="Y541" s="7" t="s">
        <v>62</v>
      </c>
    </row>
    <row r="542" spans="1:25" ht="50" customHeight="1" x14ac:dyDescent="0.25">
      <c r="A542" s="5" t="s">
        <v>2534</v>
      </c>
      <c r="B542" s="5" t="s">
        <v>2535</v>
      </c>
      <c r="C542" s="5" t="s">
        <v>2536</v>
      </c>
      <c r="D542" s="5"/>
      <c r="E542" s="6" t="s">
        <v>2537</v>
      </c>
      <c r="F542" s="6" t="s">
        <v>2538</v>
      </c>
      <c r="G542" s="5" t="s">
        <v>2538</v>
      </c>
      <c r="H542" s="7">
        <v>8</v>
      </c>
      <c r="I542" s="7">
        <v>30.49</v>
      </c>
      <c r="J542" s="7" t="s">
        <v>58</v>
      </c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 t="s">
        <v>59</v>
      </c>
      <c r="V542" s="7" t="s">
        <v>101</v>
      </c>
      <c r="W542" s="7" t="s">
        <v>61</v>
      </c>
      <c r="X542" s="5" t="str">
        <f ca="1">IF(INDIRECT("W542")="Clássico","11.5%",IF(INDIRECT("W542")="Premium","16.5%","-"))</f>
        <v>11.5%</v>
      </c>
      <c r="Y542" s="7" t="s">
        <v>62</v>
      </c>
    </row>
    <row r="543" spans="1:25" ht="50" customHeight="1" x14ac:dyDescent="0.25">
      <c r="A543" s="5" t="s">
        <v>2539</v>
      </c>
      <c r="B543" s="5" t="s">
        <v>2540</v>
      </c>
      <c r="C543" s="5" t="s">
        <v>2541</v>
      </c>
      <c r="D543" s="5"/>
      <c r="E543" s="6" t="s">
        <v>2542</v>
      </c>
      <c r="F543" s="6" t="s">
        <v>2543</v>
      </c>
      <c r="G543" s="5" t="s">
        <v>2543</v>
      </c>
      <c r="H543" s="7">
        <v>12</v>
      </c>
      <c r="I543" s="7">
        <v>31.49</v>
      </c>
      <c r="J543" s="7" t="s">
        <v>58</v>
      </c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 t="s">
        <v>59</v>
      </c>
      <c r="V543" s="7" t="s">
        <v>60</v>
      </c>
      <c r="W543" s="7" t="s">
        <v>61</v>
      </c>
      <c r="X543" s="5" t="str">
        <f ca="1">IF(INDIRECT("W543")="Clássico","13%",IF(INDIRECT("W543")="Premium","17%","-"))</f>
        <v>13%</v>
      </c>
      <c r="Y543" s="7" t="s">
        <v>62</v>
      </c>
    </row>
    <row r="544" spans="1:25" ht="50" customHeight="1" x14ac:dyDescent="0.25">
      <c r="A544" s="5" t="s">
        <v>2544</v>
      </c>
      <c r="B544" s="5" t="s">
        <v>2545</v>
      </c>
      <c r="C544" s="5" t="s">
        <v>2546</v>
      </c>
      <c r="D544" s="5"/>
      <c r="E544" s="6" t="s">
        <v>2547</v>
      </c>
      <c r="F544" s="6" t="s">
        <v>2548</v>
      </c>
      <c r="G544" s="5" t="s">
        <v>2548</v>
      </c>
      <c r="H544" s="7">
        <v>24</v>
      </c>
      <c r="I544" s="7">
        <v>22.49</v>
      </c>
      <c r="J544" s="7" t="s">
        <v>58</v>
      </c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 t="s">
        <v>59</v>
      </c>
      <c r="V544" s="7" t="s">
        <v>60</v>
      </c>
      <c r="W544" s="7" t="s">
        <v>61</v>
      </c>
      <c r="X544" s="5" t="str">
        <f ca="1">IF(INDIRECT("W544")="Clássico","13%",IF(INDIRECT("W544")="Premium","17%","-"))</f>
        <v>13%</v>
      </c>
      <c r="Y544" s="7" t="s">
        <v>62</v>
      </c>
    </row>
    <row r="545" spans="1:25" ht="50" customHeight="1" x14ac:dyDescent="0.25">
      <c r="A545" s="5" t="s">
        <v>1610</v>
      </c>
      <c r="B545" s="5" t="s">
        <v>2549</v>
      </c>
      <c r="C545" s="5" t="s">
        <v>2550</v>
      </c>
      <c r="D545" s="5"/>
      <c r="E545" s="6" t="s">
        <v>1613</v>
      </c>
      <c r="F545" s="6" t="s">
        <v>2551</v>
      </c>
      <c r="G545" s="5" t="s">
        <v>2551</v>
      </c>
      <c r="H545" s="7">
        <v>12</v>
      </c>
      <c r="I545" s="7">
        <v>20.49</v>
      </c>
      <c r="J545" s="7" t="s">
        <v>58</v>
      </c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 t="s">
        <v>59</v>
      </c>
      <c r="V545" s="7" t="s">
        <v>60</v>
      </c>
      <c r="W545" s="7" t="s">
        <v>61</v>
      </c>
      <c r="X545" s="5" t="str">
        <f ca="1">IF(INDIRECT("W545")="Clássico","13%",IF(INDIRECT("W545")="Premium","17%","-"))</f>
        <v>13%</v>
      </c>
      <c r="Y545" s="7" t="s">
        <v>62</v>
      </c>
    </row>
    <row r="546" spans="1:25" ht="50" customHeight="1" x14ac:dyDescent="0.25">
      <c r="A546" s="5" t="s">
        <v>124</v>
      </c>
      <c r="B546" s="5" t="s">
        <v>2552</v>
      </c>
      <c r="C546" s="5" t="s">
        <v>126</v>
      </c>
      <c r="D546" s="5"/>
      <c r="E546" s="6" t="s">
        <v>127</v>
      </c>
      <c r="F546" s="6" t="s">
        <v>1325</v>
      </c>
      <c r="G546" s="5" t="s">
        <v>1325</v>
      </c>
      <c r="H546" s="7">
        <v>18</v>
      </c>
      <c r="I546" s="7">
        <v>78.900000000000006</v>
      </c>
      <c r="J546" s="7" t="s">
        <v>58</v>
      </c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 t="s">
        <v>59</v>
      </c>
      <c r="V546" s="7" t="s">
        <v>129</v>
      </c>
      <c r="W546" s="7" t="s">
        <v>61</v>
      </c>
      <c r="X546" s="5" t="str">
        <f ca="1">IF(INDIRECT("W546")="Clássico","14%",IF(INDIRECT("W546")="Premium","19%","-"))</f>
        <v>14%</v>
      </c>
      <c r="Y546" s="7" t="s">
        <v>62</v>
      </c>
    </row>
    <row r="547" spans="1:25" ht="50" customHeight="1" x14ac:dyDescent="0.25">
      <c r="A547" s="5" t="s">
        <v>2553</v>
      </c>
      <c r="B547" s="5" t="s">
        <v>2554</v>
      </c>
      <c r="C547" s="5" t="s">
        <v>2555</v>
      </c>
      <c r="D547" s="5"/>
      <c r="E547" s="6" t="s">
        <v>2556</v>
      </c>
      <c r="F547" s="6" t="s">
        <v>2557</v>
      </c>
      <c r="G547" s="5" t="s">
        <v>2557</v>
      </c>
      <c r="H547" s="7">
        <v>120</v>
      </c>
      <c r="I547" s="7">
        <v>112</v>
      </c>
      <c r="J547" s="7" t="s">
        <v>58</v>
      </c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 t="s">
        <v>59</v>
      </c>
      <c r="V547" s="7" t="s">
        <v>129</v>
      </c>
      <c r="W547" s="7" t="s">
        <v>84</v>
      </c>
      <c r="X547" s="5" t="str">
        <f ca="1">IF(INDIRECT("W547")="Clássico","14%",IF(INDIRECT("W547")="Premium","19%","-"))</f>
        <v>19%</v>
      </c>
      <c r="Y547" s="7" t="s">
        <v>62</v>
      </c>
    </row>
    <row r="548" spans="1:25" ht="50" customHeight="1" x14ac:dyDescent="0.25">
      <c r="A548" s="5" t="s">
        <v>354</v>
      </c>
      <c r="B548" s="5" t="s">
        <v>2558</v>
      </c>
      <c r="C548" s="5" t="s">
        <v>356</v>
      </c>
      <c r="D548" s="5"/>
      <c r="E548" s="6" t="s">
        <v>357</v>
      </c>
      <c r="F548" s="5" t="s">
        <v>2559</v>
      </c>
      <c r="G548" s="5" t="s">
        <v>78</v>
      </c>
      <c r="H548" s="7">
        <v>90</v>
      </c>
      <c r="I548" s="7">
        <v>162.49</v>
      </c>
      <c r="J548" s="7" t="s">
        <v>58</v>
      </c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5" t="s">
        <v>59</v>
      </c>
      <c r="V548" s="7" t="s">
        <v>129</v>
      </c>
      <c r="W548" s="7" t="s">
        <v>84</v>
      </c>
      <c r="X548" s="5" t="str">
        <f ca="1">IF(INDIRECT("W548")="Clássico","12%",IF(INDIRECT("W548")="Premium","15%","-"))</f>
        <v>15%</v>
      </c>
      <c r="Y548" s="7" t="s">
        <v>62</v>
      </c>
    </row>
    <row r="549" spans="1:25" ht="50" customHeight="1" x14ac:dyDescent="0.25">
      <c r="A549" s="5" t="s">
        <v>1657</v>
      </c>
      <c r="B549" s="5" t="s">
        <v>2560</v>
      </c>
      <c r="C549" s="5" t="s">
        <v>2561</v>
      </c>
      <c r="D549" s="5"/>
      <c r="E549" s="6" t="s">
        <v>1660</v>
      </c>
      <c r="F549" s="6" t="s">
        <v>1661</v>
      </c>
      <c r="G549" s="5" t="s">
        <v>1661</v>
      </c>
      <c r="H549" s="7">
        <v>8</v>
      </c>
      <c r="I549" s="7">
        <v>22.49</v>
      </c>
      <c r="J549" s="7" t="s">
        <v>58</v>
      </c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 t="s">
        <v>59</v>
      </c>
      <c r="V549" s="7" t="s">
        <v>60</v>
      </c>
      <c r="W549" s="7" t="s">
        <v>61</v>
      </c>
      <c r="X549" s="5" t="str">
        <f ca="1">IF(INDIRECT("W549")="Clássico","13%",IF(INDIRECT("W549")="Premium","17%","-"))</f>
        <v>13%</v>
      </c>
      <c r="Y549" s="7" t="s">
        <v>62</v>
      </c>
    </row>
    <row r="550" spans="1:25" ht="50" customHeight="1" x14ac:dyDescent="0.25">
      <c r="A550" s="5" t="s">
        <v>2562</v>
      </c>
      <c r="B550" s="5" t="s">
        <v>2563</v>
      </c>
      <c r="C550" s="5" t="s">
        <v>2564</v>
      </c>
      <c r="D550" s="5"/>
      <c r="E550" s="6" t="s">
        <v>2565</v>
      </c>
      <c r="F550" s="6" t="s">
        <v>2566</v>
      </c>
      <c r="G550" s="5" t="s">
        <v>2566</v>
      </c>
      <c r="H550" s="7">
        <v>1</v>
      </c>
      <c r="I550" s="7">
        <v>26.49</v>
      </c>
      <c r="J550" s="7" t="s">
        <v>58</v>
      </c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 t="s">
        <v>59</v>
      </c>
      <c r="V550" s="7" t="s">
        <v>60</v>
      </c>
      <c r="W550" s="7" t="s">
        <v>61</v>
      </c>
      <c r="X550" s="5" t="str">
        <f ca="1">IF(INDIRECT("W550")="Clássico","13%",IF(INDIRECT("W550")="Premium","17%","-"))</f>
        <v>13%</v>
      </c>
      <c r="Y550" s="7" t="s">
        <v>62</v>
      </c>
    </row>
    <row r="551" spans="1:25" ht="50" customHeight="1" x14ac:dyDescent="0.25">
      <c r="A551" s="5" t="s">
        <v>2567</v>
      </c>
      <c r="B551" s="5" t="s">
        <v>2568</v>
      </c>
      <c r="C551" s="5" t="s">
        <v>2569</v>
      </c>
      <c r="D551" s="5"/>
      <c r="E551" s="6" t="s">
        <v>2570</v>
      </c>
      <c r="F551" s="6" t="s">
        <v>2571</v>
      </c>
      <c r="G551" s="5" t="s">
        <v>2571</v>
      </c>
      <c r="H551" s="7">
        <v>3</v>
      </c>
      <c r="I551" s="7">
        <v>26.49</v>
      </c>
      <c r="J551" s="7" t="s">
        <v>58</v>
      </c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 t="s">
        <v>59</v>
      </c>
      <c r="V551" s="7" t="s">
        <v>60</v>
      </c>
      <c r="W551" s="7" t="s">
        <v>61</v>
      </c>
      <c r="X551" s="5" t="str">
        <f ca="1">IF(INDIRECT("W551")="Clássico","12.5%",IF(INDIRECT("W551")="Premium","17.5%","-"))</f>
        <v>12.5%</v>
      </c>
      <c r="Y551" s="7" t="s">
        <v>62</v>
      </c>
    </row>
    <row r="552" spans="1:25" ht="50" customHeight="1" x14ac:dyDescent="0.25">
      <c r="A552" s="5" t="s">
        <v>2572</v>
      </c>
      <c r="B552" s="5" t="s">
        <v>2573</v>
      </c>
      <c r="C552" s="5" t="s">
        <v>2574</v>
      </c>
      <c r="D552" s="5"/>
      <c r="E552" s="6" t="s">
        <v>2575</v>
      </c>
      <c r="F552" s="6" t="s">
        <v>2576</v>
      </c>
      <c r="G552" s="5" t="s">
        <v>2577</v>
      </c>
      <c r="H552" s="7">
        <v>5</v>
      </c>
      <c r="I552" s="7">
        <v>20.49</v>
      </c>
      <c r="J552" s="7" t="s">
        <v>58</v>
      </c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 t="s">
        <v>59</v>
      </c>
      <c r="V552" s="7" t="s">
        <v>60</v>
      </c>
      <c r="W552" s="7" t="s">
        <v>61</v>
      </c>
      <c r="X552" s="5" t="str">
        <f ca="1">IF(INDIRECT("W552")="Clássico","13%",IF(INDIRECT("W552")="Premium","17%","-"))</f>
        <v>13%</v>
      </c>
      <c r="Y552" s="7" t="s">
        <v>62</v>
      </c>
    </row>
    <row r="553" spans="1:25" ht="50" customHeight="1" x14ac:dyDescent="0.25">
      <c r="A553" s="5" t="s">
        <v>2578</v>
      </c>
      <c r="B553" s="5" t="s">
        <v>2579</v>
      </c>
      <c r="C553" s="5" t="s">
        <v>2580</v>
      </c>
      <c r="D553" s="5"/>
      <c r="E553" s="6" t="s">
        <v>2581</v>
      </c>
      <c r="F553" s="6" t="s">
        <v>2582</v>
      </c>
      <c r="G553" s="5" t="s">
        <v>2582</v>
      </c>
      <c r="H553" s="7">
        <v>120</v>
      </c>
      <c r="I553" s="7">
        <v>168.49</v>
      </c>
      <c r="J553" s="7" t="s">
        <v>58</v>
      </c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 t="s">
        <v>59</v>
      </c>
      <c r="V553" s="7" t="s">
        <v>129</v>
      </c>
      <c r="W553" s="7" t="s">
        <v>84</v>
      </c>
      <c r="X553" s="5" t="str">
        <f ca="1">IF(INDIRECT("W553")="Clássico","14%",IF(INDIRECT("W553")="Premium","19%","-"))</f>
        <v>19%</v>
      </c>
      <c r="Y553" s="7" t="s">
        <v>62</v>
      </c>
    </row>
    <row r="554" spans="1:25" ht="50" customHeight="1" x14ac:dyDescent="0.25">
      <c r="A554" s="5" t="s">
        <v>2583</v>
      </c>
      <c r="B554" s="5" t="s">
        <v>2584</v>
      </c>
      <c r="C554" s="5" t="s">
        <v>2585</v>
      </c>
      <c r="D554" s="5"/>
      <c r="E554" s="6" t="s">
        <v>2586</v>
      </c>
      <c r="F554" s="6" t="s">
        <v>2587</v>
      </c>
      <c r="G554" s="5" t="s">
        <v>2587</v>
      </c>
      <c r="H554" s="7">
        <v>20</v>
      </c>
      <c r="I554" s="7">
        <v>23.49</v>
      </c>
      <c r="J554" s="7" t="s">
        <v>58</v>
      </c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 t="s">
        <v>59</v>
      </c>
      <c r="V554" s="7" t="s">
        <v>60</v>
      </c>
      <c r="W554" s="7" t="s">
        <v>61</v>
      </c>
      <c r="X554" s="5" t="str">
        <f ca="1">IF(INDIRECT("W554")="Clássico","13%",IF(INDIRECT("W554")="Premium","17%","-"))</f>
        <v>13%</v>
      </c>
      <c r="Y554" s="7" t="s">
        <v>62</v>
      </c>
    </row>
    <row r="555" spans="1:25" ht="50" customHeight="1" x14ac:dyDescent="0.25">
      <c r="A555" s="5" t="s">
        <v>2588</v>
      </c>
      <c r="B555" s="5" t="s">
        <v>2589</v>
      </c>
      <c r="C555" s="5" t="s">
        <v>2590</v>
      </c>
      <c r="D555" s="5"/>
      <c r="E555" s="6" t="s">
        <v>2591</v>
      </c>
      <c r="F555" s="6" t="s">
        <v>2592</v>
      </c>
      <c r="G555" s="5" t="s">
        <v>2592</v>
      </c>
      <c r="H555" s="7">
        <v>10</v>
      </c>
      <c r="I555" s="7">
        <v>35.49</v>
      </c>
      <c r="J555" s="7" t="s">
        <v>58</v>
      </c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 t="s">
        <v>59</v>
      </c>
      <c r="V555" s="7" t="s">
        <v>60</v>
      </c>
      <c r="W555" s="7" t="s">
        <v>61</v>
      </c>
      <c r="X555" s="5" t="str">
        <f ca="1">IF(INDIRECT("W555")="Clássico","13%",IF(INDIRECT("W555")="Premium","17%","-"))</f>
        <v>13%</v>
      </c>
      <c r="Y555" s="7" t="s">
        <v>62</v>
      </c>
    </row>
    <row r="556" spans="1:25" ht="50" customHeight="1" x14ac:dyDescent="0.25">
      <c r="A556" s="5" t="s">
        <v>2593</v>
      </c>
      <c r="B556" s="5" t="s">
        <v>2594</v>
      </c>
      <c r="C556" s="5" t="s">
        <v>2595</v>
      </c>
      <c r="D556" s="5"/>
      <c r="E556" s="6" t="s">
        <v>2596</v>
      </c>
      <c r="F556" s="6" t="s">
        <v>2597</v>
      </c>
      <c r="G556" s="5" t="s">
        <v>2597</v>
      </c>
      <c r="H556" s="7">
        <v>2</v>
      </c>
      <c r="I556" s="7">
        <v>48.49</v>
      </c>
      <c r="J556" s="7" t="s">
        <v>58</v>
      </c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 t="s">
        <v>59</v>
      </c>
      <c r="V556" s="7" t="s">
        <v>60</v>
      </c>
      <c r="W556" s="7" t="s">
        <v>61</v>
      </c>
      <c r="X556" s="5" t="str">
        <f ca="1">IF(INDIRECT("W556")="Clássico","13%",IF(INDIRECT("W556")="Premium","17%","-"))</f>
        <v>13%</v>
      </c>
      <c r="Y556" s="7" t="s">
        <v>62</v>
      </c>
    </row>
    <row r="557" spans="1:25" ht="50" customHeight="1" x14ac:dyDescent="0.25">
      <c r="A557" s="5" t="s">
        <v>2598</v>
      </c>
      <c r="B557" s="5" t="s">
        <v>2599</v>
      </c>
      <c r="C557" s="5" t="s">
        <v>2600</v>
      </c>
      <c r="D557" s="5"/>
      <c r="E557" s="6" t="s">
        <v>2601</v>
      </c>
      <c r="F557" s="6" t="s">
        <v>2602</v>
      </c>
      <c r="G557" s="5" t="s">
        <v>2602</v>
      </c>
      <c r="H557" s="7">
        <v>10</v>
      </c>
      <c r="I557" s="5" t="s">
        <v>2</v>
      </c>
      <c r="J557" s="7" t="s">
        <v>58</v>
      </c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 t="s">
        <v>59</v>
      </c>
      <c r="V557" s="7" t="s">
        <v>101</v>
      </c>
      <c r="W557" s="7" t="s">
        <v>61</v>
      </c>
      <c r="X557" s="5" t="str">
        <f ca="1">IF(INDIRECT("W557")="Clássico","13%",IF(INDIRECT("W557")="Premium","17%","-"))</f>
        <v>13%</v>
      </c>
      <c r="Y557" s="7" t="s">
        <v>62</v>
      </c>
    </row>
    <row r="558" spans="1:25" ht="50" customHeight="1" x14ac:dyDescent="0.25">
      <c r="A558" s="5" t="s">
        <v>1740</v>
      </c>
      <c r="B558" s="5" t="s">
        <v>2603</v>
      </c>
      <c r="C558" s="5" t="s">
        <v>2604</v>
      </c>
      <c r="D558" s="5"/>
      <c r="E558" s="6" t="s">
        <v>1743</v>
      </c>
      <c r="F558" s="6" t="s">
        <v>1744</v>
      </c>
      <c r="G558" s="5" t="s">
        <v>1744</v>
      </c>
      <c r="H558" s="7">
        <v>10</v>
      </c>
      <c r="I558" s="7">
        <v>93.49</v>
      </c>
      <c r="J558" s="7" t="s">
        <v>58</v>
      </c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 t="s">
        <v>59</v>
      </c>
      <c r="V558" s="7" t="s">
        <v>101</v>
      </c>
      <c r="W558" s="7" t="s">
        <v>61</v>
      </c>
      <c r="X558" s="5" t="str">
        <f ca="1">IF(INDIRECT("W558")="Clássico","13%",IF(INDIRECT("W558")="Premium","17%","-"))</f>
        <v>13%</v>
      </c>
      <c r="Y558" s="7" t="s">
        <v>62</v>
      </c>
    </row>
    <row r="559" spans="1:25" ht="50" customHeight="1" x14ac:dyDescent="0.25">
      <c r="A559" s="5" t="s">
        <v>2605</v>
      </c>
      <c r="B559" s="5" t="s">
        <v>2606</v>
      </c>
      <c r="C559" s="5" t="s">
        <v>2607</v>
      </c>
      <c r="D559" s="5"/>
      <c r="E559" s="6" t="s">
        <v>2608</v>
      </c>
      <c r="F559" s="6" t="s">
        <v>2609</v>
      </c>
      <c r="G559" s="5" t="s">
        <v>2609</v>
      </c>
      <c r="H559" s="7">
        <v>10</v>
      </c>
      <c r="I559" s="7">
        <v>93.49</v>
      </c>
      <c r="J559" s="7" t="s">
        <v>58</v>
      </c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 t="s">
        <v>59</v>
      </c>
      <c r="V559" s="7" t="s">
        <v>101</v>
      </c>
      <c r="W559" s="7" t="s">
        <v>61</v>
      </c>
      <c r="X559" s="5" t="str">
        <f ca="1">IF(INDIRECT("W559")="Clássico","13%",IF(INDIRECT("W559")="Premium","17%","-"))</f>
        <v>13%</v>
      </c>
      <c r="Y559" s="7" t="s">
        <v>62</v>
      </c>
    </row>
    <row r="560" spans="1:25" ht="50" customHeight="1" x14ac:dyDescent="0.25">
      <c r="A560" s="5" t="s">
        <v>2610</v>
      </c>
      <c r="B560" s="5" t="s">
        <v>2611</v>
      </c>
      <c r="C560" s="5" t="s">
        <v>2612</v>
      </c>
      <c r="D560" s="5"/>
      <c r="E560" s="6" t="s">
        <v>2613</v>
      </c>
      <c r="F560" s="6" t="s">
        <v>2614</v>
      </c>
      <c r="G560" s="5" t="s">
        <v>2614</v>
      </c>
      <c r="H560" s="7">
        <v>72</v>
      </c>
      <c r="I560" s="7">
        <v>22.49</v>
      </c>
      <c r="J560" s="7" t="s">
        <v>58</v>
      </c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 t="s">
        <v>59</v>
      </c>
      <c r="V560" s="7" t="s">
        <v>60</v>
      </c>
      <c r="W560" s="7" t="s">
        <v>61</v>
      </c>
      <c r="X560" s="5" t="str">
        <f ca="1">IF(INDIRECT("W560")="Clássico","13%",IF(INDIRECT("W560")="Premium","17%","-"))</f>
        <v>13%</v>
      </c>
      <c r="Y560" s="7" t="s">
        <v>62</v>
      </c>
    </row>
    <row r="561" spans="1:25" ht="50" customHeight="1" x14ac:dyDescent="0.25">
      <c r="A561" s="5" t="s">
        <v>2615</v>
      </c>
      <c r="B561" s="5" t="s">
        <v>2616</v>
      </c>
      <c r="C561" s="5" t="s">
        <v>2617</v>
      </c>
      <c r="D561" s="5"/>
      <c r="E561" s="6" t="s">
        <v>2618</v>
      </c>
      <c r="F561" s="6" t="s">
        <v>2619</v>
      </c>
      <c r="G561" s="5" t="s">
        <v>2619</v>
      </c>
      <c r="H561" s="7">
        <v>60</v>
      </c>
      <c r="I561" s="7">
        <v>162.49</v>
      </c>
      <c r="J561" s="7" t="s">
        <v>58</v>
      </c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 t="s">
        <v>59</v>
      </c>
      <c r="V561" s="7" t="s">
        <v>129</v>
      </c>
      <c r="W561" s="7" t="s">
        <v>84</v>
      </c>
      <c r="X561" s="5" t="str">
        <f ca="1">IF(INDIRECT("W561")="Clássico","12%",IF(INDIRECT("W561")="Premium","15%","-"))</f>
        <v>15%</v>
      </c>
      <c r="Y561" s="7" t="s">
        <v>62</v>
      </c>
    </row>
    <row r="562" spans="1:25" ht="50" customHeight="1" x14ac:dyDescent="0.25">
      <c r="A562" s="5" t="s">
        <v>2620</v>
      </c>
      <c r="B562" s="5" t="s">
        <v>2621</v>
      </c>
      <c r="C562" s="5" t="s">
        <v>2622</v>
      </c>
      <c r="D562" s="5"/>
      <c r="E562" s="6" t="s">
        <v>2623</v>
      </c>
      <c r="F562" s="6" t="s">
        <v>2624</v>
      </c>
      <c r="G562" s="5" t="s">
        <v>2624</v>
      </c>
      <c r="H562" s="7">
        <v>8</v>
      </c>
      <c r="I562" s="7">
        <v>68.489999999999995</v>
      </c>
      <c r="J562" s="7" t="s">
        <v>58</v>
      </c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 t="s">
        <v>59</v>
      </c>
      <c r="V562" s="7" t="s">
        <v>60</v>
      </c>
      <c r="W562" s="7" t="s">
        <v>61</v>
      </c>
      <c r="X562" s="5" t="str">
        <f ca="1">IF(INDIRECT("W562")="Clássico","12%",IF(INDIRECT("W562")="Premium","17%","-"))</f>
        <v>12%</v>
      </c>
      <c r="Y562" s="7" t="s">
        <v>62</v>
      </c>
    </row>
    <row r="563" spans="1:25" ht="50" customHeight="1" x14ac:dyDescent="0.25">
      <c r="A563" s="5" t="s">
        <v>1755</v>
      </c>
      <c r="B563" s="5" t="s">
        <v>2625</v>
      </c>
      <c r="C563" s="5" t="s">
        <v>2626</v>
      </c>
      <c r="D563" s="5"/>
      <c r="E563" s="6" t="s">
        <v>1758</v>
      </c>
      <c r="F563" s="6" t="s">
        <v>1759</v>
      </c>
      <c r="G563" s="5" t="s">
        <v>1759</v>
      </c>
      <c r="H563" s="7">
        <v>18</v>
      </c>
      <c r="I563" s="7">
        <v>18.489999999999998</v>
      </c>
      <c r="J563" s="7" t="s">
        <v>58</v>
      </c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 t="s">
        <v>59</v>
      </c>
      <c r="V563" s="7" t="s">
        <v>101</v>
      </c>
      <c r="W563" s="7" t="s">
        <v>61</v>
      </c>
      <c r="X563" s="5" t="str">
        <f ca="1">IF(INDIRECT("W563")="Clássico","13%",IF(INDIRECT("W563")="Premium","17%","-"))</f>
        <v>13%</v>
      </c>
      <c r="Y563" s="7" t="s">
        <v>62</v>
      </c>
    </row>
    <row r="564" spans="1:25" ht="50" customHeight="1" x14ac:dyDescent="0.25">
      <c r="A564" s="5" t="s">
        <v>2627</v>
      </c>
      <c r="B564" s="5" t="s">
        <v>2628</v>
      </c>
      <c r="C564" s="5" t="s">
        <v>2629</v>
      </c>
      <c r="D564" s="5"/>
      <c r="E564" s="6" t="s">
        <v>2630</v>
      </c>
      <c r="F564" s="6" t="s">
        <v>2631</v>
      </c>
      <c r="G564" s="5" t="s">
        <v>2631</v>
      </c>
      <c r="H564" s="7">
        <v>150</v>
      </c>
      <c r="I564" s="7">
        <v>70.489999999999995</v>
      </c>
      <c r="J564" s="7" t="s">
        <v>58</v>
      </c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5" t="s">
        <v>59</v>
      </c>
      <c r="V564" s="7" t="s">
        <v>60</v>
      </c>
      <c r="W564" s="7" t="s">
        <v>61</v>
      </c>
      <c r="X564" s="5" t="str">
        <f ca="1">IF(INDIRECT("W564")="Clássico","14%",IF(INDIRECT("W564")="Premium","19%","-"))</f>
        <v>14%</v>
      </c>
      <c r="Y564" s="7" t="s">
        <v>62</v>
      </c>
    </row>
    <row r="565" spans="1:25" ht="50" customHeight="1" x14ac:dyDescent="0.25">
      <c r="A565" s="5" t="s">
        <v>2632</v>
      </c>
      <c r="B565" s="5" t="s">
        <v>2633</v>
      </c>
      <c r="C565" s="5" t="s">
        <v>2634</v>
      </c>
      <c r="D565" s="5"/>
      <c r="E565" s="6" t="s">
        <v>2635</v>
      </c>
      <c r="F565" s="6" t="s">
        <v>2636</v>
      </c>
      <c r="G565" s="5" t="s">
        <v>2636</v>
      </c>
      <c r="H565" s="7">
        <v>12</v>
      </c>
      <c r="I565" s="7">
        <v>35.49</v>
      </c>
      <c r="J565" s="7" t="s">
        <v>58</v>
      </c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 t="s">
        <v>59</v>
      </c>
      <c r="V565" s="7" t="s">
        <v>60</v>
      </c>
      <c r="W565" s="7" t="s">
        <v>61</v>
      </c>
      <c r="X565" s="5" t="str">
        <f ca="1">IF(INDIRECT("W565")="Clássico","13%",IF(INDIRECT("W565")="Premium","17%","-"))</f>
        <v>13%</v>
      </c>
      <c r="Y565" s="7" t="s">
        <v>62</v>
      </c>
    </row>
    <row r="566" spans="1:25" ht="50" customHeight="1" x14ac:dyDescent="0.25">
      <c r="A566" s="5" t="s">
        <v>2637</v>
      </c>
      <c r="B566" s="5" t="s">
        <v>2638</v>
      </c>
      <c r="C566" s="5" t="s">
        <v>2639</v>
      </c>
      <c r="D566" s="5"/>
      <c r="E566" s="6" t="s">
        <v>2640</v>
      </c>
      <c r="F566" s="6" t="s">
        <v>2641</v>
      </c>
      <c r="G566" s="5" t="s">
        <v>2641</v>
      </c>
      <c r="H566" s="7">
        <v>8</v>
      </c>
      <c r="I566" s="7">
        <v>28.49</v>
      </c>
      <c r="J566" s="7" t="s">
        <v>58</v>
      </c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 t="s">
        <v>59</v>
      </c>
      <c r="V566" s="7" t="s">
        <v>60</v>
      </c>
      <c r="W566" s="7" t="s">
        <v>61</v>
      </c>
      <c r="X566" s="5" t="str">
        <f ca="1">IF(INDIRECT("W566")="Clássico","12%",IF(INDIRECT("W566")="Premium","17%","-"))</f>
        <v>12%</v>
      </c>
      <c r="Y566" s="7" t="s">
        <v>62</v>
      </c>
    </row>
    <row r="567" spans="1:25" ht="50" customHeight="1" x14ac:dyDescent="0.25">
      <c r="A567" s="5" t="s">
        <v>2642</v>
      </c>
      <c r="B567" s="5" t="s">
        <v>2643</v>
      </c>
      <c r="C567" s="5" t="s">
        <v>2644</v>
      </c>
      <c r="D567" s="5"/>
      <c r="E567" s="6" t="s">
        <v>2645</v>
      </c>
      <c r="F567" s="6" t="s">
        <v>2646</v>
      </c>
      <c r="G567" s="5" t="s">
        <v>2646</v>
      </c>
      <c r="H567" s="7">
        <v>6</v>
      </c>
      <c r="I567" s="7">
        <v>37.49</v>
      </c>
      <c r="J567" s="7" t="s">
        <v>58</v>
      </c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 t="s">
        <v>59</v>
      </c>
      <c r="V567" s="7" t="s">
        <v>60</v>
      </c>
      <c r="W567" s="7" t="s">
        <v>61</v>
      </c>
      <c r="X567" s="5" t="str">
        <f ca="1">IF(INDIRECT("W567")="Clássico","13%",IF(INDIRECT("W567")="Premium","17%","-"))</f>
        <v>13%</v>
      </c>
      <c r="Y567" s="7" t="s">
        <v>62</v>
      </c>
    </row>
    <row r="568" spans="1:25" ht="50" customHeight="1" x14ac:dyDescent="0.25">
      <c r="A568" s="5" t="s">
        <v>2647</v>
      </c>
      <c r="B568" s="5" t="s">
        <v>2648</v>
      </c>
      <c r="C568" s="5" t="s">
        <v>2649</v>
      </c>
      <c r="D568" s="5"/>
      <c r="E568" s="6" t="s">
        <v>2650</v>
      </c>
      <c r="F568" s="6" t="s">
        <v>2651</v>
      </c>
      <c r="G568" s="5" t="s">
        <v>2651</v>
      </c>
      <c r="H568" s="7">
        <v>8</v>
      </c>
      <c r="I568" s="7">
        <v>49.49</v>
      </c>
      <c r="J568" s="7" t="s">
        <v>58</v>
      </c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 t="s">
        <v>59</v>
      </c>
      <c r="V568" s="7" t="s">
        <v>60</v>
      </c>
      <c r="W568" s="7" t="s">
        <v>61</v>
      </c>
      <c r="X568" s="5" t="str">
        <f ca="1">IF(INDIRECT("W568")="Clássico","13%",IF(INDIRECT("W568")="Premium","17%","-"))</f>
        <v>13%</v>
      </c>
      <c r="Y568" s="7" t="s">
        <v>62</v>
      </c>
    </row>
    <row r="569" spans="1:25" ht="50" customHeight="1" x14ac:dyDescent="0.25">
      <c r="A569" s="5" t="s">
        <v>2652</v>
      </c>
      <c r="B569" s="5" t="s">
        <v>2653</v>
      </c>
      <c r="C569" s="5" t="s">
        <v>2654</v>
      </c>
      <c r="D569" s="5"/>
      <c r="E569" s="6" t="s">
        <v>2655</v>
      </c>
      <c r="F569" s="6" t="s">
        <v>2656</v>
      </c>
      <c r="G569" s="5" t="s">
        <v>2656</v>
      </c>
      <c r="H569" s="7">
        <v>140</v>
      </c>
      <c r="I569" s="7">
        <v>28.49</v>
      </c>
      <c r="J569" s="7" t="s">
        <v>58</v>
      </c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 t="s">
        <v>59</v>
      </c>
      <c r="V569" s="7" t="s">
        <v>60</v>
      </c>
      <c r="W569" s="7" t="s">
        <v>61</v>
      </c>
      <c r="X569" s="5" t="str">
        <f ca="1">IF(INDIRECT("W569")="Clássico","13%",IF(INDIRECT("W569")="Premium","17%","-"))</f>
        <v>13%</v>
      </c>
      <c r="Y569" s="7" t="s">
        <v>62</v>
      </c>
    </row>
    <row r="570" spans="1:25" ht="50" customHeight="1" x14ac:dyDescent="0.25">
      <c r="A570" s="5" t="s">
        <v>2657</v>
      </c>
      <c r="B570" s="5" t="s">
        <v>2658</v>
      </c>
      <c r="C570" s="5" t="s">
        <v>2659</v>
      </c>
      <c r="D570" s="5"/>
      <c r="E570" s="6" t="s">
        <v>2660</v>
      </c>
      <c r="F570" s="6" t="s">
        <v>2661</v>
      </c>
      <c r="G570" s="5" t="s">
        <v>2661</v>
      </c>
      <c r="H570" s="7">
        <v>60</v>
      </c>
      <c r="I570" s="7">
        <v>245.49</v>
      </c>
      <c r="J570" s="7" t="s">
        <v>58</v>
      </c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 t="s">
        <v>59</v>
      </c>
      <c r="V570" s="7" t="s">
        <v>129</v>
      </c>
      <c r="W570" s="7" t="s">
        <v>84</v>
      </c>
      <c r="X570" s="5" t="str">
        <f ca="1">IF(INDIRECT("W570")="Clássico","14%",IF(INDIRECT("W570")="Premium","19%","-"))</f>
        <v>19%</v>
      </c>
      <c r="Y570" s="7" t="s">
        <v>62</v>
      </c>
    </row>
    <row r="571" spans="1:25" ht="50" customHeight="1" x14ac:dyDescent="0.25">
      <c r="A571" s="5" t="s">
        <v>2662</v>
      </c>
      <c r="B571" s="5" t="s">
        <v>2663</v>
      </c>
      <c r="C571" s="5" t="s">
        <v>2664</v>
      </c>
      <c r="D571" s="5"/>
      <c r="E571" s="6" t="s">
        <v>2665</v>
      </c>
      <c r="F571" s="6" t="s">
        <v>2666</v>
      </c>
      <c r="G571" s="5" t="s">
        <v>2666</v>
      </c>
      <c r="H571" s="7">
        <v>24</v>
      </c>
      <c r="I571" s="7">
        <v>22.49</v>
      </c>
      <c r="J571" s="7" t="s">
        <v>58</v>
      </c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 t="s">
        <v>59</v>
      </c>
      <c r="V571" s="7" t="s">
        <v>60</v>
      </c>
      <c r="W571" s="7" t="s">
        <v>61</v>
      </c>
      <c r="X571" s="5" t="str">
        <f ca="1">IF(INDIRECT("W571")="Clássico","13%",IF(INDIRECT("W571")="Premium","17%","-"))</f>
        <v>13%</v>
      </c>
      <c r="Y571" s="7" t="s">
        <v>62</v>
      </c>
    </row>
    <row r="572" spans="1:25" ht="50" customHeight="1" x14ac:dyDescent="0.25">
      <c r="A572" s="5" t="s">
        <v>2667</v>
      </c>
      <c r="B572" s="5" t="s">
        <v>2668</v>
      </c>
      <c r="C572" s="5" t="s">
        <v>2669</v>
      </c>
      <c r="D572" s="5"/>
      <c r="E572" s="6" t="s">
        <v>2670</v>
      </c>
      <c r="F572" s="6" t="s">
        <v>2671</v>
      </c>
      <c r="G572" s="5" t="s">
        <v>2671</v>
      </c>
      <c r="H572" s="7">
        <v>12</v>
      </c>
      <c r="I572" s="7">
        <v>52.49</v>
      </c>
      <c r="J572" s="7" t="s">
        <v>58</v>
      </c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 t="s">
        <v>59</v>
      </c>
      <c r="V572" s="7" t="s">
        <v>60</v>
      </c>
      <c r="W572" s="7" t="s">
        <v>61</v>
      </c>
      <c r="X572" s="5" t="str">
        <f ca="1">IF(INDIRECT("W572")="Clássico","13%",IF(INDIRECT("W572")="Premium","17%","-"))</f>
        <v>13%</v>
      </c>
      <c r="Y572" s="7" t="s">
        <v>62</v>
      </c>
    </row>
    <row r="573" spans="1:25" ht="50" customHeight="1" x14ac:dyDescent="0.25">
      <c r="A573" s="5" t="s">
        <v>1567</v>
      </c>
      <c r="B573" s="5" t="s">
        <v>2672</v>
      </c>
      <c r="C573" s="5" t="s">
        <v>2673</v>
      </c>
      <c r="D573" s="5"/>
      <c r="E573" s="6" t="s">
        <v>1570</v>
      </c>
      <c r="F573" s="6" t="s">
        <v>2674</v>
      </c>
      <c r="G573" s="5" t="s">
        <v>2674</v>
      </c>
      <c r="H573" s="7">
        <v>1</v>
      </c>
      <c r="I573" s="7">
        <v>33.49</v>
      </c>
      <c r="J573" s="7" t="s">
        <v>58</v>
      </c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 t="s">
        <v>59</v>
      </c>
      <c r="V573" s="7" t="s">
        <v>60</v>
      </c>
      <c r="W573" s="7" t="s">
        <v>61</v>
      </c>
      <c r="X573" s="5" t="str">
        <f ca="1">IF(INDIRECT("W573")="Clássico","13%",IF(INDIRECT("W573")="Premium","17%","-"))</f>
        <v>13%</v>
      </c>
      <c r="Y573" s="7" t="s">
        <v>62</v>
      </c>
    </row>
    <row r="574" spans="1:25" ht="50" customHeight="1" x14ac:dyDescent="0.25">
      <c r="A574" s="5" t="s">
        <v>2675</v>
      </c>
      <c r="B574" s="5" t="s">
        <v>2676</v>
      </c>
      <c r="C574" s="5" t="s">
        <v>2677</v>
      </c>
      <c r="D574" s="5"/>
      <c r="E574" s="6" t="s">
        <v>2678</v>
      </c>
      <c r="F574" s="6" t="s">
        <v>2679</v>
      </c>
      <c r="G574" s="5" t="s">
        <v>2679</v>
      </c>
      <c r="H574" s="7">
        <v>48</v>
      </c>
      <c r="I574" s="7">
        <v>22.49</v>
      </c>
      <c r="J574" s="7" t="s">
        <v>58</v>
      </c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 t="s">
        <v>59</v>
      </c>
      <c r="V574" s="7" t="s">
        <v>60</v>
      </c>
      <c r="W574" s="7" t="s">
        <v>61</v>
      </c>
      <c r="X574" s="5" t="str">
        <f ca="1">IF(INDIRECT("W574")="Clássico","13%",IF(INDIRECT("W574")="Premium","17%","-"))</f>
        <v>13%</v>
      </c>
      <c r="Y574" s="7" t="s">
        <v>62</v>
      </c>
    </row>
    <row r="575" spans="1:25" ht="50" customHeight="1" x14ac:dyDescent="0.25">
      <c r="A575" s="5" t="s">
        <v>2680</v>
      </c>
      <c r="B575" s="5" t="s">
        <v>2681</v>
      </c>
      <c r="C575" s="5" t="s">
        <v>2682</v>
      </c>
      <c r="D575" s="5"/>
      <c r="E575" s="6" t="s">
        <v>2683</v>
      </c>
      <c r="F575" s="6" t="s">
        <v>2684</v>
      </c>
      <c r="G575" s="5" t="s">
        <v>2684</v>
      </c>
      <c r="H575" s="7">
        <v>5</v>
      </c>
      <c r="I575" s="7">
        <v>41.49</v>
      </c>
      <c r="J575" s="7" t="s">
        <v>58</v>
      </c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 t="s">
        <v>59</v>
      </c>
      <c r="V575" s="7" t="s">
        <v>60</v>
      </c>
      <c r="W575" s="7" t="s">
        <v>61</v>
      </c>
      <c r="X575" s="5" t="str">
        <f ca="1">IF(INDIRECT("W575")="Clássico","13%",IF(INDIRECT("W575")="Premium","17%","-"))</f>
        <v>13%</v>
      </c>
      <c r="Y575" s="7" t="s">
        <v>62</v>
      </c>
    </row>
    <row r="576" spans="1:25" ht="50" customHeight="1" x14ac:dyDescent="0.25">
      <c r="A576" s="5" t="s">
        <v>2685</v>
      </c>
      <c r="B576" s="5" t="s">
        <v>2686</v>
      </c>
      <c r="C576" s="5" t="s">
        <v>2687</v>
      </c>
      <c r="D576" s="5"/>
      <c r="E576" s="6" t="s">
        <v>2688</v>
      </c>
      <c r="F576" s="6" t="s">
        <v>2689</v>
      </c>
      <c r="G576" s="5" t="s">
        <v>2689</v>
      </c>
      <c r="H576" s="7">
        <v>19</v>
      </c>
      <c r="I576" s="7">
        <v>28.49</v>
      </c>
      <c r="J576" s="7" t="s">
        <v>58</v>
      </c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 t="s">
        <v>59</v>
      </c>
      <c r="V576" s="7" t="s">
        <v>60</v>
      </c>
      <c r="W576" s="7" t="s">
        <v>61</v>
      </c>
      <c r="X576" s="5" t="str">
        <f ca="1">IF(INDIRECT("W576")="Clássico","13%",IF(INDIRECT("W576")="Premium","17%","-"))</f>
        <v>13%</v>
      </c>
      <c r="Y576" s="7" t="s">
        <v>62</v>
      </c>
    </row>
    <row r="577" spans="1:25" ht="50" customHeight="1" x14ac:dyDescent="0.25">
      <c r="A577" s="5" t="s">
        <v>1436</v>
      </c>
      <c r="B577" s="5" t="s">
        <v>2690</v>
      </c>
      <c r="C577" s="5" t="s">
        <v>2691</v>
      </c>
      <c r="D577" s="5"/>
      <c r="E577" s="6" t="s">
        <v>1439</v>
      </c>
      <c r="F577" s="6" t="s">
        <v>2692</v>
      </c>
      <c r="G577" s="5" t="s">
        <v>2692</v>
      </c>
      <c r="H577" s="7">
        <v>24</v>
      </c>
      <c r="I577" s="7">
        <v>26.49</v>
      </c>
      <c r="J577" s="7" t="s">
        <v>58</v>
      </c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 t="s">
        <v>59</v>
      </c>
      <c r="V577" s="7" t="s">
        <v>101</v>
      </c>
      <c r="W577" s="7" t="s">
        <v>61</v>
      </c>
      <c r="X577" s="5" t="str">
        <f ca="1">IF(INDIRECT("W577")="Clássico","13%",IF(INDIRECT("W577")="Premium","17%","-"))</f>
        <v>13%</v>
      </c>
      <c r="Y577" s="7" t="s">
        <v>62</v>
      </c>
    </row>
    <row r="578" spans="1:25" ht="50" customHeight="1" x14ac:dyDescent="0.25">
      <c r="A578" s="5" t="s">
        <v>2693</v>
      </c>
      <c r="B578" s="5" t="s">
        <v>2694</v>
      </c>
      <c r="C578" s="5" t="s">
        <v>2695</v>
      </c>
      <c r="D578" s="5"/>
      <c r="E578" s="6" t="s">
        <v>2696</v>
      </c>
      <c r="F578" s="6" t="s">
        <v>2697</v>
      </c>
      <c r="G578" s="5" t="s">
        <v>2697</v>
      </c>
      <c r="H578" s="7">
        <v>12</v>
      </c>
      <c r="I578" s="7">
        <v>26.49</v>
      </c>
      <c r="J578" s="7" t="s">
        <v>58</v>
      </c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 t="s">
        <v>59</v>
      </c>
      <c r="V578" s="7" t="s">
        <v>101</v>
      </c>
      <c r="W578" s="7" t="s">
        <v>61</v>
      </c>
      <c r="X578" s="5" t="str">
        <f ca="1">IF(INDIRECT("W578")="Clássico","13%",IF(INDIRECT("W578")="Premium","17%","-"))</f>
        <v>13%</v>
      </c>
      <c r="Y578" s="7" t="s">
        <v>62</v>
      </c>
    </row>
    <row r="579" spans="1:25" ht="50" customHeight="1" x14ac:dyDescent="0.25">
      <c r="A579" s="5" t="s">
        <v>2698</v>
      </c>
      <c r="B579" s="5" t="s">
        <v>2699</v>
      </c>
      <c r="C579" s="5" t="s">
        <v>2700</v>
      </c>
      <c r="D579" s="5"/>
      <c r="E579" s="6" t="s">
        <v>2701</v>
      </c>
      <c r="F579" s="6" t="s">
        <v>2702</v>
      </c>
      <c r="G579" s="5" t="s">
        <v>2702</v>
      </c>
      <c r="H579" s="7">
        <v>72</v>
      </c>
      <c r="I579" s="7">
        <v>26.49</v>
      </c>
      <c r="J579" s="7" t="s">
        <v>58</v>
      </c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 t="s">
        <v>59</v>
      </c>
      <c r="V579" s="7" t="s">
        <v>60</v>
      </c>
      <c r="W579" s="7" t="s">
        <v>61</v>
      </c>
      <c r="X579" s="5" t="str">
        <f ca="1">IF(INDIRECT("W579")="Clássico","13%",IF(INDIRECT("W579")="Premium","17%","-"))</f>
        <v>13%</v>
      </c>
      <c r="Y579" s="7" t="s">
        <v>62</v>
      </c>
    </row>
    <row r="580" spans="1:25" ht="50" customHeight="1" x14ac:dyDescent="0.25">
      <c r="A580" s="5" t="s">
        <v>2703</v>
      </c>
      <c r="B580" s="5" t="s">
        <v>2704</v>
      </c>
      <c r="C580" s="5" t="s">
        <v>2705</v>
      </c>
      <c r="D580" s="5"/>
      <c r="E580" s="6" t="s">
        <v>2706</v>
      </c>
      <c r="F580" s="6" t="s">
        <v>2707</v>
      </c>
      <c r="G580" s="5" t="s">
        <v>2707</v>
      </c>
      <c r="H580" s="7">
        <v>12</v>
      </c>
      <c r="I580" s="7">
        <v>30.49</v>
      </c>
      <c r="J580" s="7" t="s">
        <v>58</v>
      </c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 t="s">
        <v>59</v>
      </c>
      <c r="V580" s="7" t="s">
        <v>101</v>
      </c>
      <c r="W580" s="7" t="s">
        <v>61</v>
      </c>
      <c r="X580" s="5" t="str">
        <f ca="1">IF(INDIRECT("W580")="Clássico","13%",IF(INDIRECT("W580")="Premium","17%","-"))</f>
        <v>13%</v>
      </c>
      <c r="Y580" s="7" t="s">
        <v>62</v>
      </c>
    </row>
    <row r="581" spans="1:25" ht="50" customHeight="1" x14ac:dyDescent="0.25">
      <c r="A581" s="5" t="s">
        <v>2708</v>
      </c>
      <c r="B581" s="5" t="s">
        <v>2709</v>
      </c>
      <c r="C581" s="5" t="s">
        <v>2710</v>
      </c>
      <c r="D581" s="5"/>
      <c r="E581" s="6" t="s">
        <v>2711</v>
      </c>
      <c r="F581" s="6" t="s">
        <v>2712</v>
      </c>
      <c r="G581" s="5" t="s">
        <v>2712</v>
      </c>
      <c r="H581" s="7">
        <v>12</v>
      </c>
      <c r="I581" s="7">
        <v>30.49</v>
      </c>
      <c r="J581" s="7" t="s">
        <v>58</v>
      </c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 t="s">
        <v>59</v>
      </c>
      <c r="V581" s="7" t="s">
        <v>101</v>
      </c>
      <c r="W581" s="7" t="s">
        <v>61</v>
      </c>
      <c r="X581" s="5" t="str">
        <f ca="1">IF(INDIRECT("W581")="Clássico","13%",IF(INDIRECT("W581")="Premium","17%","-"))</f>
        <v>13%</v>
      </c>
      <c r="Y581" s="7" t="s">
        <v>62</v>
      </c>
    </row>
    <row r="582" spans="1:25" ht="50" customHeight="1" x14ac:dyDescent="0.25">
      <c r="A582" s="5" t="s">
        <v>2713</v>
      </c>
      <c r="B582" s="5" t="s">
        <v>2714</v>
      </c>
      <c r="C582" s="5" t="s">
        <v>2715</v>
      </c>
      <c r="D582" s="5"/>
      <c r="E582" s="6" t="s">
        <v>2716</v>
      </c>
      <c r="F582" s="6" t="s">
        <v>2717</v>
      </c>
      <c r="G582" s="5" t="s">
        <v>2717</v>
      </c>
      <c r="H582" s="7">
        <v>12</v>
      </c>
      <c r="I582" s="7">
        <v>30.49</v>
      </c>
      <c r="J582" s="7" t="s">
        <v>58</v>
      </c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 t="s">
        <v>59</v>
      </c>
      <c r="V582" s="7" t="s">
        <v>101</v>
      </c>
      <c r="W582" s="7" t="s">
        <v>61</v>
      </c>
      <c r="X582" s="5" t="str">
        <f ca="1">IF(INDIRECT("W582")="Clássico","13%",IF(INDIRECT("W582")="Premium","17%","-"))</f>
        <v>13%</v>
      </c>
      <c r="Y582" s="7" t="s">
        <v>62</v>
      </c>
    </row>
    <row r="583" spans="1:25" ht="50" customHeight="1" x14ac:dyDescent="0.25">
      <c r="A583" s="5" t="s">
        <v>2718</v>
      </c>
      <c r="B583" s="5" t="s">
        <v>2719</v>
      </c>
      <c r="C583" s="5" t="s">
        <v>2720</v>
      </c>
      <c r="D583" s="5"/>
      <c r="E583" s="6" t="s">
        <v>2721</v>
      </c>
      <c r="F583" s="6" t="s">
        <v>2722</v>
      </c>
      <c r="G583" s="5" t="s">
        <v>2722</v>
      </c>
      <c r="H583" s="7">
        <v>12</v>
      </c>
      <c r="I583" s="7">
        <v>30.49</v>
      </c>
      <c r="J583" s="7" t="s">
        <v>58</v>
      </c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 t="s">
        <v>59</v>
      </c>
      <c r="V583" s="7" t="s">
        <v>101</v>
      </c>
      <c r="W583" s="7" t="s">
        <v>61</v>
      </c>
      <c r="X583" s="5" t="str">
        <f ca="1">IF(INDIRECT("W583")="Clássico","13%",IF(INDIRECT("W583")="Premium","17%","-"))</f>
        <v>13%</v>
      </c>
      <c r="Y583" s="7" t="s">
        <v>62</v>
      </c>
    </row>
    <row r="584" spans="1:25" ht="50" customHeight="1" x14ac:dyDescent="0.25">
      <c r="A584" s="5" t="s">
        <v>2723</v>
      </c>
      <c r="B584" s="5" t="s">
        <v>2724</v>
      </c>
      <c r="C584" s="5" t="s">
        <v>2725</v>
      </c>
      <c r="D584" s="5"/>
      <c r="E584" s="6" t="s">
        <v>2726</v>
      </c>
      <c r="F584" s="6" t="s">
        <v>2727</v>
      </c>
      <c r="G584" s="5" t="s">
        <v>2727</v>
      </c>
      <c r="H584" s="7">
        <v>12</v>
      </c>
      <c r="I584" s="7">
        <v>30.49</v>
      </c>
      <c r="J584" s="7" t="s">
        <v>58</v>
      </c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 t="s">
        <v>59</v>
      </c>
      <c r="V584" s="7" t="s">
        <v>101</v>
      </c>
      <c r="W584" s="7" t="s">
        <v>61</v>
      </c>
      <c r="X584" s="5" t="str">
        <f ca="1">IF(INDIRECT("W584")="Clássico","13%",IF(INDIRECT("W584")="Premium","17%","-"))</f>
        <v>13%</v>
      </c>
      <c r="Y584" s="7" t="s">
        <v>62</v>
      </c>
    </row>
    <row r="585" spans="1:25" ht="50" customHeight="1" x14ac:dyDescent="0.25">
      <c r="A585" s="5" t="s">
        <v>2728</v>
      </c>
      <c r="B585" s="5" t="s">
        <v>2729</v>
      </c>
      <c r="C585" s="5" t="s">
        <v>2730</v>
      </c>
      <c r="D585" s="5"/>
      <c r="E585" s="6" t="s">
        <v>2731</v>
      </c>
      <c r="F585" s="6" t="s">
        <v>2732</v>
      </c>
      <c r="G585" s="5" t="s">
        <v>2732</v>
      </c>
      <c r="H585" s="7">
        <v>12</v>
      </c>
      <c r="I585" s="7">
        <v>30.49</v>
      </c>
      <c r="J585" s="7" t="s">
        <v>58</v>
      </c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 t="s">
        <v>59</v>
      </c>
      <c r="V585" s="7" t="s">
        <v>101</v>
      </c>
      <c r="W585" s="7" t="s">
        <v>61</v>
      </c>
      <c r="X585" s="5" t="str">
        <f ca="1">IF(INDIRECT("W585")="Clássico","13%",IF(INDIRECT("W585")="Premium","17%","-"))</f>
        <v>13%</v>
      </c>
      <c r="Y585" s="7" t="s">
        <v>62</v>
      </c>
    </row>
    <row r="586" spans="1:25" ht="50" customHeight="1" x14ac:dyDescent="0.25">
      <c r="A586" s="5" t="s">
        <v>2733</v>
      </c>
      <c r="B586" s="5" t="s">
        <v>2734</v>
      </c>
      <c r="C586" s="5" t="s">
        <v>2735</v>
      </c>
      <c r="D586" s="5"/>
      <c r="E586" s="6" t="s">
        <v>2736</v>
      </c>
      <c r="F586" s="6" t="s">
        <v>2737</v>
      </c>
      <c r="G586" s="5" t="s">
        <v>2737</v>
      </c>
      <c r="H586" s="7">
        <v>12</v>
      </c>
      <c r="I586" s="7">
        <v>31.49</v>
      </c>
      <c r="J586" s="7" t="s">
        <v>58</v>
      </c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 t="s">
        <v>59</v>
      </c>
      <c r="V586" s="7" t="s">
        <v>60</v>
      </c>
      <c r="W586" s="7" t="s">
        <v>61</v>
      </c>
      <c r="X586" s="5" t="str">
        <f ca="1">IF(INDIRECT("W586")="Clássico","13%",IF(INDIRECT("W586")="Premium","17%","-"))</f>
        <v>13%</v>
      </c>
      <c r="Y586" s="7" t="s">
        <v>62</v>
      </c>
    </row>
    <row r="587" spans="1:25" ht="50" customHeight="1" x14ac:dyDescent="0.25">
      <c r="A587" s="5" t="s">
        <v>2738</v>
      </c>
      <c r="B587" s="5" t="s">
        <v>2739</v>
      </c>
      <c r="C587" s="5" t="s">
        <v>2740</v>
      </c>
      <c r="D587" s="5"/>
      <c r="E587" s="6" t="s">
        <v>2741</v>
      </c>
      <c r="F587" s="6" t="s">
        <v>2742</v>
      </c>
      <c r="G587" s="5" t="s">
        <v>2742</v>
      </c>
      <c r="H587" s="7">
        <v>8</v>
      </c>
      <c r="I587" s="7">
        <v>28.49</v>
      </c>
      <c r="J587" s="7" t="s">
        <v>58</v>
      </c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 t="s">
        <v>59</v>
      </c>
      <c r="V587" s="7" t="s">
        <v>60</v>
      </c>
      <c r="W587" s="7" t="s">
        <v>61</v>
      </c>
      <c r="X587" s="5" t="str">
        <f ca="1">IF(INDIRECT("W587")="Clássico","13%",IF(INDIRECT("W587")="Premium","17%","-"))</f>
        <v>13%</v>
      </c>
      <c r="Y587" s="7" t="s">
        <v>62</v>
      </c>
    </row>
    <row r="588" spans="1:25" ht="50" customHeight="1" x14ac:dyDescent="0.25">
      <c r="A588" s="5" t="s">
        <v>2743</v>
      </c>
      <c r="B588" s="5" t="s">
        <v>2744</v>
      </c>
      <c r="C588" s="5" t="s">
        <v>2745</v>
      </c>
      <c r="D588" s="5"/>
      <c r="E588" s="6" t="s">
        <v>2746</v>
      </c>
      <c r="F588" s="6" t="s">
        <v>2747</v>
      </c>
      <c r="G588" s="5" t="s">
        <v>2747</v>
      </c>
      <c r="H588" s="7">
        <v>12</v>
      </c>
      <c r="I588" s="7">
        <v>44.99</v>
      </c>
      <c r="J588" s="7" t="s">
        <v>58</v>
      </c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 t="s">
        <v>59</v>
      </c>
      <c r="V588" s="7" t="s">
        <v>101</v>
      </c>
      <c r="W588" s="7" t="s">
        <v>61</v>
      </c>
      <c r="X588" s="5" t="str">
        <f ca="1">IF(INDIRECT("W588")="Clássico","13%",IF(INDIRECT("W588")="Premium","17%","-"))</f>
        <v>13%</v>
      </c>
      <c r="Y588" s="7" t="s">
        <v>62</v>
      </c>
    </row>
    <row r="589" spans="1:25" ht="50" customHeight="1" x14ac:dyDescent="0.25">
      <c r="A589" s="5" t="s">
        <v>2748</v>
      </c>
      <c r="B589" s="5" t="s">
        <v>2749</v>
      </c>
      <c r="C589" s="5" t="s">
        <v>2750</v>
      </c>
      <c r="D589" s="5"/>
      <c r="E589" s="6" t="s">
        <v>2751</v>
      </c>
      <c r="F589" s="6" t="s">
        <v>2752</v>
      </c>
      <c r="G589" s="5" t="s">
        <v>2752</v>
      </c>
      <c r="H589" s="7">
        <v>24</v>
      </c>
      <c r="I589" s="7">
        <v>26.49</v>
      </c>
      <c r="J589" s="7" t="s">
        <v>58</v>
      </c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 t="s">
        <v>59</v>
      </c>
      <c r="V589" s="7" t="s">
        <v>101</v>
      </c>
      <c r="W589" s="7" t="s">
        <v>61</v>
      </c>
      <c r="X589" s="5" t="str">
        <f ca="1">IF(INDIRECT("W589")="Clássico","13%",IF(INDIRECT("W589")="Premium","17%","-"))</f>
        <v>13%</v>
      </c>
      <c r="Y589" s="7" t="s">
        <v>62</v>
      </c>
    </row>
    <row r="590" spans="1:25" ht="50" customHeight="1" x14ac:dyDescent="0.25">
      <c r="A590" s="5" t="s">
        <v>1167</v>
      </c>
      <c r="B590" s="5" t="s">
        <v>2753</v>
      </c>
      <c r="C590" s="5" t="s">
        <v>1169</v>
      </c>
      <c r="D590" s="5"/>
      <c r="E590" s="6" t="s">
        <v>1170</v>
      </c>
      <c r="F590" s="5" t="s">
        <v>2754</v>
      </c>
      <c r="G590" s="5" t="s">
        <v>78</v>
      </c>
      <c r="H590" s="7">
        <v>12</v>
      </c>
      <c r="I590" s="7">
        <v>68.489999999999995</v>
      </c>
      <c r="J590" s="7" t="s">
        <v>58</v>
      </c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5" t="s">
        <v>59</v>
      </c>
      <c r="V590" s="7" t="s">
        <v>60</v>
      </c>
      <c r="W590" s="7" t="s">
        <v>61</v>
      </c>
      <c r="X590" s="5" t="str">
        <f ca="1">IF(INDIRECT("W590")="Clássico","14%",IF(INDIRECT("W590")="Premium","19%","-"))</f>
        <v>14%</v>
      </c>
      <c r="Y590" s="7" t="s">
        <v>62</v>
      </c>
    </row>
    <row r="591" spans="1:25" ht="50" customHeight="1" x14ac:dyDescent="0.25">
      <c r="A591" s="5" t="s">
        <v>2755</v>
      </c>
      <c r="B591" s="5" t="s">
        <v>2756</v>
      </c>
      <c r="C591" s="5" t="s">
        <v>2757</v>
      </c>
      <c r="D591" s="5"/>
      <c r="E591" s="6" t="s">
        <v>2758</v>
      </c>
      <c r="F591" s="5" t="s">
        <v>2759</v>
      </c>
      <c r="G591" s="5" t="s">
        <v>78</v>
      </c>
      <c r="H591" s="7">
        <v>9</v>
      </c>
      <c r="I591" s="7">
        <v>141.49</v>
      </c>
      <c r="J591" s="7" t="s">
        <v>58</v>
      </c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5" t="s">
        <v>59</v>
      </c>
      <c r="V591" s="7" t="s">
        <v>129</v>
      </c>
      <c r="W591" s="7" t="s">
        <v>84</v>
      </c>
      <c r="X591" s="5" t="str">
        <f ca="1">IF(INDIRECT("W591")="Clássico","14%",IF(INDIRECT("W591")="Premium","19%","-"))</f>
        <v>19%</v>
      </c>
      <c r="Y591" s="7" t="s">
        <v>62</v>
      </c>
    </row>
    <row r="592" spans="1:25" ht="50" customHeight="1" x14ac:dyDescent="0.25">
      <c r="A592" s="5" t="s">
        <v>2760</v>
      </c>
      <c r="B592" s="5" t="s">
        <v>2761</v>
      </c>
      <c r="C592" s="5" t="s">
        <v>2762</v>
      </c>
      <c r="D592" s="5"/>
      <c r="E592" s="6" t="s">
        <v>2763</v>
      </c>
      <c r="F592" s="6" t="s">
        <v>2764</v>
      </c>
      <c r="G592" s="5" t="s">
        <v>2764</v>
      </c>
      <c r="H592" s="7">
        <v>10</v>
      </c>
      <c r="I592" s="7">
        <v>26.49</v>
      </c>
      <c r="J592" s="7" t="s">
        <v>58</v>
      </c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 t="s">
        <v>59</v>
      </c>
      <c r="V592" s="7" t="s">
        <v>101</v>
      </c>
      <c r="W592" s="7" t="s">
        <v>61</v>
      </c>
      <c r="X592" s="5" t="str">
        <f ca="1">IF(INDIRECT("W592")="Clássico","13%",IF(INDIRECT("W592")="Premium","17%","-"))</f>
        <v>13%</v>
      </c>
      <c r="Y592" s="7" t="s">
        <v>62</v>
      </c>
    </row>
    <row r="593" spans="1:25" ht="50" customHeight="1" x14ac:dyDescent="0.25">
      <c r="A593" s="5" t="s">
        <v>2765</v>
      </c>
      <c r="B593" s="5" t="s">
        <v>2766</v>
      </c>
      <c r="C593" s="5" t="s">
        <v>2767</v>
      </c>
      <c r="D593" s="5"/>
      <c r="E593" s="6" t="s">
        <v>2768</v>
      </c>
      <c r="F593" s="6" t="s">
        <v>2769</v>
      </c>
      <c r="G593" s="5" t="s">
        <v>2769</v>
      </c>
      <c r="H593" s="7">
        <v>12</v>
      </c>
      <c r="I593" s="7">
        <v>30.49</v>
      </c>
      <c r="J593" s="7" t="s">
        <v>58</v>
      </c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 t="s">
        <v>59</v>
      </c>
      <c r="V593" s="7" t="s">
        <v>101</v>
      </c>
      <c r="W593" s="7" t="s">
        <v>61</v>
      </c>
      <c r="X593" s="5" t="str">
        <f ca="1">IF(INDIRECT("W593")="Clássico","13%",IF(INDIRECT("W593")="Premium","17%","-"))</f>
        <v>13%</v>
      </c>
      <c r="Y593" s="7" t="s">
        <v>62</v>
      </c>
    </row>
    <row r="594" spans="1:25" ht="50" customHeight="1" x14ac:dyDescent="0.25">
      <c r="A594" s="5" t="s">
        <v>2770</v>
      </c>
      <c r="B594" s="5" t="s">
        <v>2771</v>
      </c>
      <c r="C594" s="5" t="s">
        <v>2772</v>
      </c>
      <c r="D594" s="5"/>
      <c r="E594" s="6" t="s">
        <v>2773</v>
      </c>
      <c r="F594" s="6" t="s">
        <v>2774</v>
      </c>
      <c r="G594" s="5" t="s">
        <v>2774</v>
      </c>
      <c r="H594" s="7">
        <v>4</v>
      </c>
      <c r="I594" s="7">
        <v>26.49</v>
      </c>
      <c r="J594" s="7" t="s">
        <v>58</v>
      </c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 t="s">
        <v>59</v>
      </c>
      <c r="V594" s="7" t="s">
        <v>101</v>
      </c>
      <c r="W594" s="7" t="s">
        <v>61</v>
      </c>
      <c r="X594" s="5" t="str">
        <f ca="1">IF(INDIRECT("W594")="Clássico","13%",IF(INDIRECT("W594")="Premium","17%","-"))</f>
        <v>13%</v>
      </c>
      <c r="Y594" s="7" t="s">
        <v>62</v>
      </c>
    </row>
    <row r="595" spans="1:25" ht="50" customHeight="1" x14ac:dyDescent="0.25">
      <c r="A595" s="5" t="s">
        <v>2775</v>
      </c>
      <c r="B595" s="5" t="s">
        <v>2776</v>
      </c>
      <c r="C595" s="5" t="s">
        <v>2777</v>
      </c>
      <c r="D595" s="5"/>
      <c r="E595" s="6" t="s">
        <v>2778</v>
      </c>
      <c r="F595" s="6" t="s">
        <v>2779</v>
      </c>
      <c r="G595" s="5" t="s">
        <v>2779</v>
      </c>
      <c r="H595" s="7">
        <v>36</v>
      </c>
      <c r="I595" s="7">
        <v>26.49</v>
      </c>
      <c r="J595" s="7" t="s">
        <v>58</v>
      </c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 t="s">
        <v>59</v>
      </c>
      <c r="V595" s="7" t="s">
        <v>101</v>
      </c>
      <c r="W595" s="7" t="s">
        <v>61</v>
      </c>
      <c r="X595" s="5" t="str">
        <f ca="1">IF(INDIRECT("W595")="Clássico","13%",IF(INDIRECT("W595")="Premium","17%","-"))</f>
        <v>13%</v>
      </c>
      <c r="Y595" s="7" t="s">
        <v>62</v>
      </c>
    </row>
    <row r="596" spans="1:25" ht="50" customHeight="1" x14ac:dyDescent="0.25">
      <c r="A596" s="5" t="s">
        <v>2780</v>
      </c>
      <c r="B596" s="5" t="s">
        <v>2781</v>
      </c>
      <c r="C596" s="5" t="s">
        <v>2782</v>
      </c>
      <c r="D596" s="5"/>
      <c r="E596" s="6" t="s">
        <v>2783</v>
      </c>
      <c r="F596" s="6" t="s">
        <v>2784</v>
      </c>
      <c r="G596" s="5" t="s">
        <v>2784</v>
      </c>
      <c r="H596" s="7">
        <v>18</v>
      </c>
      <c r="I596" s="7">
        <v>24.49</v>
      </c>
      <c r="J596" s="7" t="s">
        <v>58</v>
      </c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 t="s">
        <v>59</v>
      </c>
      <c r="V596" s="7" t="s">
        <v>60</v>
      </c>
      <c r="W596" s="7" t="s">
        <v>61</v>
      </c>
      <c r="X596" s="5" t="str">
        <f ca="1">IF(INDIRECT("W596")="Clássico","13%",IF(INDIRECT("W596")="Premium","17%","-"))</f>
        <v>13%</v>
      </c>
      <c r="Y596" s="7" t="s">
        <v>62</v>
      </c>
    </row>
    <row r="597" spans="1:25" ht="50" customHeight="1" x14ac:dyDescent="0.25">
      <c r="A597" s="5" t="s">
        <v>2785</v>
      </c>
      <c r="B597" s="5" t="s">
        <v>2786</v>
      </c>
      <c r="C597" s="5" t="s">
        <v>2787</v>
      </c>
      <c r="D597" s="5"/>
      <c r="E597" s="6" t="s">
        <v>2788</v>
      </c>
      <c r="F597" s="6" t="s">
        <v>2789</v>
      </c>
      <c r="G597" s="5" t="s">
        <v>2789</v>
      </c>
      <c r="H597" s="7">
        <v>5</v>
      </c>
      <c r="I597" s="7">
        <v>248.97</v>
      </c>
      <c r="J597" s="7" t="s">
        <v>58</v>
      </c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 t="s">
        <v>59</v>
      </c>
      <c r="V597" s="7" t="s">
        <v>101</v>
      </c>
      <c r="W597" s="7" t="s">
        <v>84</v>
      </c>
      <c r="X597" s="5" t="str">
        <f ca="1">IF(INDIRECT("W597")="Clássico","13%",IF(INDIRECT("W597")="Premium","15%","-"))</f>
        <v>15%</v>
      </c>
      <c r="Y597" s="7" t="s">
        <v>62</v>
      </c>
    </row>
    <row r="598" spans="1:25" ht="50" customHeight="1" x14ac:dyDescent="0.25">
      <c r="A598" s="5" t="s">
        <v>2790</v>
      </c>
      <c r="B598" s="5" t="s">
        <v>2791</v>
      </c>
      <c r="C598" s="5" t="s">
        <v>2792</v>
      </c>
      <c r="D598" s="5"/>
      <c r="E598" s="6" t="s">
        <v>2793</v>
      </c>
      <c r="F598" s="6" t="s">
        <v>2794</v>
      </c>
      <c r="G598" s="5" t="s">
        <v>2794</v>
      </c>
      <c r="H598" s="7">
        <v>8</v>
      </c>
      <c r="I598" s="7">
        <v>20.49</v>
      </c>
      <c r="J598" s="7" t="s">
        <v>58</v>
      </c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 t="s">
        <v>59</v>
      </c>
      <c r="V598" s="7" t="s">
        <v>60</v>
      </c>
      <c r="W598" s="7" t="s">
        <v>61</v>
      </c>
      <c r="X598" s="5" t="str">
        <f ca="1">IF(INDIRECT("W598")="Clássico","13%",IF(INDIRECT("W598")="Premium","17%","-"))</f>
        <v>13%</v>
      </c>
      <c r="Y598" s="7" t="s">
        <v>62</v>
      </c>
    </row>
    <row r="599" spans="1:25" ht="50" customHeight="1" x14ac:dyDescent="0.25">
      <c r="A599" s="5" t="s">
        <v>2795</v>
      </c>
      <c r="B599" s="5" t="s">
        <v>2796</v>
      </c>
      <c r="C599" s="5" t="s">
        <v>2797</v>
      </c>
      <c r="D599" s="5"/>
      <c r="E599" s="6" t="s">
        <v>2798</v>
      </c>
      <c r="F599" s="6" t="s">
        <v>2799</v>
      </c>
      <c r="G599" s="5" t="s">
        <v>2799</v>
      </c>
      <c r="H599" s="7">
        <v>6</v>
      </c>
      <c r="I599" s="7">
        <v>95.49</v>
      </c>
      <c r="J599" s="7" t="s">
        <v>58</v>
      </c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5" t="s">
        <v>59</v>
      </c>
      <c r="V599" s="7" t="s">
        <v>129</v>
      </c>
      <c r="W599" s="7" t="s">
        <v>61</v>
      </c>
      <c r="X599" s="5" t="str">
        <f ca="1">IF(INDIRECT("W599")="Clássico","14%",IF(INDIRECT("W599")="Premium","19%","-"))</f>
        <v>14%</v>
      </c>
      <c r="Y599" s="7" t="s">
        <v>62</v>
      </c>
    </row>
    <row r="600" spans="1:25" ht="50" customHeight="1" x14ac:dyDescent="0.25">
      <c r="A600" s="5" t="s">
        <v>2800</v>
      </c>
      <c r="B600" s="5" t="s">
        <v>2801</v>
      </c>
      <c r="C600" s="5" t="s">
        <v>2802</v>
      </c>
      <c r="D600" s="5"/>
      <c r="E600" s="6" t="s">
        <v>2803</v>
      </c>
      <c r="F600" s="6" t="s">
        <v>2804</v>
      </c>
      <c r="G600" s="5" t="s">
        <v>2804</v>
      </c>
      <c r="H600" s="7">
        <v>24</v>
      </c>
      <c r="I600" s="7">
        <v>26.49</v>
      </c>
      <c r="J600" s="7" t="s">
        <v>58</v>
      </c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 t="s">
        <v>59</v>
      </c>
      <c r="V600" s="7" t="s">
        <v>101</v>
      </c>
      <c r="W600" s="7" t="s">
        <v>61</v>
      </c>
      <c r="X600" s="5" t="str">
        <f ca="1">IF(INDIRECT("W600")="Clássico","13%",IF(INDIRECT("W600")="Premium","17%","-"))</f>
        <v>13%</v>
      </c>
      <c r="Y600" s="7" t="s">
        <v>62</v>
      </c>
    </row>
    <row r="601" spans="1:25" ht="50" customHeight="1" x14ac:dyDescent="0.25">
      <c r="A601" s="5" t="s">
        <v>1394</v>
      </c>
      <c r="B601" s="5" t="s">
        <v>2805</v>
      </c>
      <c r="C601" s="5" t="s">
        <v>1396</v>
      </c>
      <c r="D601" s="5"/>
      <c r="E601" s="6" t="s">
        <v>1397</v>
      </c>
      <c r="F601" s="6" t="s">
        <v>2806</v>
      </c>
      <c r="G601" s="5" t="s">
        <v>2806</v>
      </c>
      <c r="H601" s="7">
        <v>12</v>
      </c>
      <c r="I601" s="7">
        <v>26.49</v>
      </c>
      <c r="J601" s="7" t="s">
        <v>58</v>
      </c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 t="s">
        <v>59</v>
      </c>
      <c r="V601" s="7" t="s">
        <v>101</v>
      </c>
      <c r="W601" s="7" t="s">
        <v>61</v>
      </c>
      <c r="X601" s="5" t="str">
        <f ca="1">IF(INDIRECT("W601")="Clássico","13%",IF(INDIRECT("W601")="Premium","17%","-"))</f>
        <v>13%</v>
      </c>
      <c r="Y601" s="7" t="s">
        <v>62</v>
      </c>
    </row>
    <row r="602" spans="1:25" ht="50" customHeight="1" x14ac:dyDescent="0.25">
      <c r="A602" s="5" t="s">
        <v>2807</v>
      </c>
      <c r="B602" s="5" t="s">
        <v>2808</v>
      </c>
      <c r="C602" s="5" t="s">
        <v>2809</v>
      </c>
      <c r="D602" s="5"/>
      <c r="E602" s="6" t="s">
        <v>2810</v>
      </c>
      <c r="F602" s="6" t="s">
        <v>2811</v>
      </c>
      <c r="G602" s="5" t="s">
        <v>2812</v>
      </c>
      <c r="H602" s="7">
        <v>120</v>
      </c>
      <c r="I602" s="7">
        <v>22.49</v>
      </c>
      <c r="J602" s="7" t="s">
        <v>58</v>
      </c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 t="s">
        <v>59</v>
      </c>
      <c r="V602" s="7" t="s">
        <v>60</v>
      </c>
      <c r="W602" s="7" t="s">
        <v>61</v>
      </c>
      <c r="X602" s="5" t="str">
        <f ca="1">IF(INDIRECT("W602")="Clássico","13%",IF(INDIRECT("W602")="Premium","17%","-"))</f>
        <v>13%</v>
      </c>
      <c r="Y602" s="7" t="s">
        <v>62</v>
      </c>
    </row>
    <row r="603" spans="1:25" ht="50" customHeight="1" x14ac:dyDescent="0.25">
      <c r="A603" s="5" t="s">
        <v>2813</v>
      </c>
      <c r="B603" s="5" t="s">
        <v>2814</v>
      </c>
      <c r="C603" s="5" t="s">
        <v>2815</v>
      </c>
      <c r="D603" s="5"/>
      <c r="E603" s="6" t="s">
        <v>2816</v>
      </c>
      <c r="F603" s="6" t="s">
        <v>2817</v>
      </c>
      <c r="G603" s="5" t="s">
        <v>2817</v>
      </c>
      <c r="H603" s="7">
        <v>18</v>
      </c>
      <c r="I603" s="7">
        <v>26.49</v>
      </c>
      <c r="J603" s="7" t="s">
        <v>58</v>
      </c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 t="s">
        <v>59</v>
      </c>
      <c r="V603" s="7" t="s">
        <v>60</v>
      </c>
      <c r="W603" s="7" t="s">
        <v>61</v>
      </c>
      <c r="X603" s="5" t="str">
        <f ca="1">IF(INDIRECT("W603")="Clássico","13%",IF(INDIRECT("W603")="Premium","17%","-"))</f>
        <v>13%</v>
      </c>
      <c r="Y603" s="7" t="s">
        <v>62</v>
      </c>
    </row>
    <row r="604" spans="1:25" ht="50" customHeight="1" x14ac:dyDescent="0.25">
      <c r="A604" s="5" t="s">
        <v>2818</v>
      </c>
      <c r="B604" s="5" t="s">
        <v>2819</v>
      </c>
      <c r="C604" s="5" t="s">
        <v>2820</v>
      </c>
      <c r="D604" s="5"/>
      <c r="E604" s="6" t="s">
        <v>2821</v>
      </c>
      <c r="F604" s="6" t="s">
        <v>2822</v>
      </c>
      <c r="G604" s="5" t="s">
        <v>2822</v>
      </c>
      <c r="H604" s="7">
        <v>60</v>
      </c>
      <c r="I604" s="7">
        <v>243.49</v>
      </c>
      <c r="J604" s="7" t="s">
        <v>58</v>
      </c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 t="s">
        <v>59</v>
      </c>
      <c r="V604" s="7" t="s">
        <v>129</v>
      </c>
      <c r="W604" s="7" t="s">
        <v>84</v>
      </c>
      <c r="X604" s="5" t="str">
        <f ca="1">IF(INDIRECT("W604")="Clássico","14%",IF(INDIRECT("W604")="Premium","19%","-"))</f>
        <v>19%</v>
      </c>
      <c r="Y604" s="7" t="s">
        <v>62</v>
      </c>
    </row>
    <row r="605" spans="1:25" ht="50" customHeight="1" x14ac:dyDescent="0.25">
      <c r="A605" s="5" t="s">
        <v>2823</v>
      </c>
      <c r="B605" s="5" t="s">
        <v>2824</v>
      </c>
      <c r="C605" s="5" t="s">
        <v>2825</v>
      </c>
      <c r="D605" s="5"/>
      <c r="E605" s="6" t="s">
        <v>2826</v>
      </c>
      <c r="F605" s="6" t="s">
        <v>2827</v>
      </c>
      <c r="G605" s="5" t="s">
        <v>2827</v>
      </c>
      <c r="H605" s="7">
        <v>6</v>
      </c>
      <c r="I605" s="7">
        <v>55.49</v>
      </c>
      <c r="J605" s="7" t="s">
        <v>58</v>
      </c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 t="s">
        <v>59</v>
      </c>
      <c r="V605" s="7" t="s">
        <v>60</v>
      </c>
      <c r="W605" s="7" t="s">
        <v>61</v>
      </c>
      <c r="X605" s="5" t="str">
        <f ca="1">IF(INDIRECT("W605")="Clássico","14%",IF(INDIRECT("W605")="Premium","19%","-"))</f>
        <v>14%</v>
      </c>
      <c r="Y605" s="7" t="s">
        <v>62</v>
      </c>
    </row>
    <row r="606" spans="1:25" ht="50" customHeight="1" x14ac:dyDescent="0.25">
      <c r="A606" s="5" t="s">
        <v>2828</v>
      </c>
      <c r="B606" s="5" t="s">
        <v>2829</v>
      </c>
      <c r="C606" s="5" t="s">
        <v>2830</v>
      </c>
      <c r="D606" s="5"/>
      <c r="E606" s="6" t="s">
        <v>2831</v>
      </c>
      <c r="F606" s="6" t="s">
        <v>2832</v>
      </c>
      <c r="G606" s="5" t="s">
        <v>2832</v>
      </c>
      <c r="H606" s="7">
        <v>21</v>
      </c>
      <c r="I606" s="7">
        <v>99.49</v>
      </c>
      <c r="J606" s="7" t="s">
        <v>58</v>
      </c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 t="s">
        <v>59</v>
      </c>
      <c r="V606" s="7" t="s">
        <v>129</v>
      </c>
      <c r="W606" s="7" t="s">
        <v>61</v>
      </c>
      <c r="X606" s="5" t="str">
        <f ca="1">IF(INDIRECT("W606")="Clássico","14%",IF(INDIRECT("W606")="Premium","19%","-"))</f>
        <v>14%</v>
      </c>
      <c r="Y606" s="7" t="s">
        <v>62</v>
      </c>
    </row>
    <row r="607" spans="1:25" ht="50" customHeight="1" x14ac:dyDescent="0.25">
      <c r="A607" s="5" t="s">
        <v>2833</v>
      </c>
      <c r="B607" s="5" t="s">
        <v>2834</v>
      </c>
      <c r="C607" s="5" t="s">
        <v>2835</v>
      </c>
      <c r="D607" s="5"/>
      <c r="E607" s="6" t="s">
        <v>2836</v>
      </c>
      <c r="F607" s="6" t="s">
        <v>2837</v>
      </c>
      <c r="G607" s="5" t="s">
        <v>2837</v>
      </c>
      <c r="H607" s="7">
        <v>9</v>
      </c>
      <c r="I607" s="7">
        <v>28.49</v>
      </c>
      <c r="J607" s="7" t="s">
        <v>58</v>
      </c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 t="s">
        <v>59</v>
      </c>
      <c r="V607" s="7" t="s">
        <v>60</v>
      </c>
      <c r="W607" s="7" t="s">
        <v>61</v>
      </c>
      <c r="X607" s="5" t="str">
        <f ca="1">IF(INDIRECT("W607")="Clássico","13%",IF(INDIRECT("W607")="Premium","17%","-"))</f>
        <v>13%</v>
      </c>
      <c r="Y607" s="7" t="s">
        <v>62</v>
      </c>
    </row>
    <row r="608" spans="1:25" ht="50" customHeight="1" x14ac:dyDescent="0.25">
      <c r="A608" s="5" t="s">
        <v>2838</v>
      </c>
      <c r="B608" s="5" t="s">
        <v>2839</v>
      </c>
      <c r="C608" s="5" t="s">
        <v>2840</v>
      </c>
      <c r="D608" s="5"/>
      <c r="E608" s="6" t="s">
        <v>2841</v>
      </c>
      <c r="F608" s="6" t="s">
        <v>2842</v>
      </c>
      <c r="G608" s="5" t="s">
        <v>2842</v>
      </c>
      <c r="H608" s="7">
        <v>17</v>
      </c>
      <c r="I608" s="7">
        <v>24.49</v>
      </c>
      <c r="J608" s="7" t="s">
        <v>58</v>
      </c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 t="s">
        <v>59</v>
      </c>
      <c r="V608" s="7" t="s">
        <v>60</v>
      </c>
      <c r="W608" s="7" t="s">
        <v>61</v>
      </c>
      <c r="X608" s="5" t="str">
        <f ca="1">IF(INDIRECT("W608")="Clássico","13%",IF(INDIRECT("W608")="Premium","17%","-"))</f>
        <v>13%</v>
      </c>
      <c r="Y608" s="7" t="s">
        <v>62</v>
      </c>
    </row>
    <row r="609" spans="1:25" ht="50" customHeight="1" x14ac:dyDescent="0.25">
      <c r="A609" s="5" t="s">
        <v>2843</v>
      </c>
      <c r="B609" s="5" t="s">
        <v>2844</v>
      </c>
      <c r="C609" s="5" t="s">
        <v>2845</v>
      </c>
      <c r="D609" s="5"/>
      <c r="E609" s="6" t="s">
        <v>2846</v>
      </c>
      <c r="F609" s="6" t="s">
        <v>2847</v>
      </c>
      <c r="G609" s="5" t="s">
        <v>2847</v>
      </c>
      <c r="H609" s="7">
        <v>12</v>
      </c>
      <c r="I609" s="7">
        <v>24.49</v>
      </c>
      <c r="J609" s="7" t="s">
        <v>58</v>
      </c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 t="s">
        <v>59</v>
      </c>
      <c r="V609" s="7" t="s">
        <v>60</v>
      </c>
      <c r="W609" s="7" t="s">
        <v>61</v>
      </c>
      <c r="X609" s="5" t="str">
        <f ca="1">IF(INDIRECT("W609")="Clássico","13%",IF(INDIRECT("W609")="Premium","17%","-"))</f>
        <v>13%</v>
      </c>
      <c r="Y609" s="7" t="s">
        <v>62</v>
      </c>
    </row>
    <row r="610" spans="1:25" ht="50" customHeight="1" x14ac:dyDescent="0.25">
      <c r="A610" s="5" t="s">
        <v>2848</v>
      </c>
      <c r="B610" s="5" t="s">
        <v>2849</v>
      </c>
      <c r="C610" s="5" t="s">
        <v>2850</v>
      </c>
      <c r="D610" s="5"/>
      <c r="E610" s="6" t="s">
        <v>2851</v>
      </c>
      <c r="F610" s="6" t="s">
        <v>2852</v>
      </c>
      <c r="G610" s="5" t="s">
        <v>2852</v>
      </c>
      <c r="H610" s="7">
        <v>12</v>
      </c>
      <c r="I610" s="7">
        <v>24.49</v>
      </c>
      <c r="J610" s="7" t="s">
        <v>58</v>
      </c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 t="s">
        <v>59</v>
      </c>
      <c r="V610" s="7" t="s">
        <v>60</v>
      </c>
      <c r="W610" s="7" t="s">
        <v>61</v>
      </c>
      <c r="X610" s="5" t="str">
        <f ca="1">IF(INDIRECT("W610")="Clássico","13%",IF(INDIRECT("W610")="Premium","17%","-"))</f>
        <v>13%</v>
      </c>
      <c r="Y610" s="7" t="s">
        <v>62</v>
      </c>
    </row>
    <row r="611" spans="1:25" ht="50" customHeight="1" x14ac:dyDescent="0.25">
      <c r="A611" s="5" t="s">
        <v>2853</v>
      </c>
      <c r="B611" s="5" t="s">
        <v>2854</v>
      </c>
      <c r="C611" s="5" t="s">
        <v>2855</v>
      </c>
      <c r="D611" s="5"/>
      <c r="E611" s="6" t="s">
        <v>2856</v>
      </c>
      <c r="F611" s="6" t="s">
        <v>2857</v>
      </c>
      <c r="G611" s="5" t="s">
        <v>2857</v>
      </c>
      <c r="H611" s="7">
        <v>7</v>
      </c>
      <c r="I611" s="7">
        <v>28.49</v>
      </c>
      <c r="J611" s="7" t="s">
        <v>58</v>
      </c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 t="s">
        <v>59</v>
      </c>
      <c r="V611" s="7" t="s">
        <v>60</v>
      </c>
      <c r="W611" s="7" t="s">
        <v>61</v>
      </c>
      <c r="X611" s="5" t="str">
        <f ca="1">IF(INDIRECT("W611")="Clássico","13%",IF(INDIRECT("W611")="Premium","17%","-"))</f>
        <v>13%</v>
      </c>
      <c r="Y611" s="7" t="s">
        <v>62</v>
      </c>
    </row>
    <row r="612" spans="1:25" ht="50" customHeight="1" x14ac:dyDescent="0.25">
      <c r="A612" s="5" t="s">
        <v>2858</v>
      </c>
      <c r="B612" s="5" t="s">
        <v>2859</v>
      </c>
      <c r="C612" s="5" t="s">
        <v>2860</v>
      </c>
      <c r="D612" s="5"/>
      <c r="E612" s="6" t="s">
        <v>2861</v>
      </c>
      <c r="F612" s="6" t="s">
        <v>2862</v>
      </c>
      <c r="G612" s="5" t="s">
        <v>2862</v>
      </c>
      <c r="H612" s="7">
        <v>4</v>
      </c>
      <c r="I612" s="7">
        <v>28.49</v>
      </c>
      <c r="J612" s="7" t="s">
        <v>58</v>
      </c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 t="s">
        <v>59</v>
      </c>
      <c r="V612" s="7" t="s">
        <v>60</v>
      </c>
      <c r="W612" s="7" t="s">
        <v>61</v>
      </c>
      <c r="X612" s="5" t="str">
        <f ca="1">IF(INDIRECT("W612")="Clássico","13%",IF(INDIRECT("W612")="Premium","17%","-"))</f>
        <v>13%</v>
      </c>
      <c r="Y612" s="7" t="s">
        <v>62</v>
      </c>
    </row>
    <row r="613" spans="1:25" ht="50" customHeight="1" x14ac:dyDescent="0.25">
      <c r="A613" s="5" t="s">
        <v>2863</v>
      </c>
      <c r="B613" s="5" t="s">
        <v>2864</v>
      </c>
      <c r="C613" s="5" t="s">
        <v>2865</v>
      </c>
      <c r="D613" s="5"/>
      <c r="E613" s="6" t="s">
        <v>2866</v>
      </c>
      <c r="F613" s="6" t="s">
        <v>2867</v>
      </c>
      <c r="G613" s="5" t="s">
        <v>2867</v>
      </c>
      <c r="H613" s="7">
        <v>24</v>
      </c>
      <c r="I613" s="7">
        <v>30.49</v>
      </c>
      <c r="J613" s="7" t="s">
        <v>58</v>
      </c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 t="s">
        <v>59</v>
      </c>
      <c r="V613" s="7" t="s">
        <v>60</v>
      </c>
      <c r="W613" s="7" t="s">
        <v>61</v>
      </c>
      <c r="X613" s="5" t="str">
        <f ca="1">IF(INDIRECT("W613")="Clássico","13%",IF(INDIRECT("W613")="Premium","17%","-"))</f>
        <v>13%</v>
      </c>
      <c r="Y613" s="7" t="s">
        <v>62</v>
      </c>
    </row>
    <row r="614" spans="1:25" ht="50" customHeight="1" x14ac:dyDescent="0.25">
      <c r="A614" s="5" t="s">
        <v>2868</v>
      </c>
      <c r="B614" s="5" t="s">
        <v>2869</v>
      </c>
      <c r="C614" s="5" t="s">
        <v>2870</v>
      </c>
      <c r="D614" s="5"/>
      <c r="E614" s="6" t="s">
        <v>2871</v>
      </c>
      <c r="F614" s="6" t="s">
        <v>2872</v>
      </c>
      <c r="G614" s="5" t="s">
        <v>2872</v>
      </c>
      <c r="H614" s="7">
        <v>36</v>
      </c>
      <c r="I614" s="7">
        <v>20.49</v>
      </c>
      <c r="J614" s="7" t="s">
        <v>58</v>
      </c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 t="s">
        <v>59</v>
      </c>
      <c r="V614" s="7" t="s">
        <v>60</v>
      </c>
      <c r="W614" s="7" t="s">
        <v>61</v>
      </c>
      <c r="X614" s="5" t="str">
        <f ca="1">IF(INDIRECT("W614")="Clássico","13%",IF(INDIRECT("W614")="Premium","17%","-"))</f>
        <v>13%</v>
      </c>
      <c r="Y614" s="7" t="s">
        <v>62</v>
      </c>
    </row>
    <row r="615" spans="1:25" ht="50" customHeight="1" x14ac:dyDescent="0.25">
      <c r="A615" s="5" t="s">
        <v>1377</v>
      </c>
      <c r="B615" s="5" t="s">
        <v>2873</v>
      </c>
      <c r="C615" s="5" t="s">
        <v>1379</v>
      </c>
      <c r="D615" s="5"/>
      <c r="E615" s="6" t="s">
        <v>1380</v>
      </c>
      <c r="F615" s="6" t="s">
        <v>1381</v>
      </c>
      <c r="G615" s="5" t="s">
        <v>1381</v>
      </c>
      <c r="H615" s="7">
        <v>3</v>
      </c>
      <c r="I615" s="7">
        <v>188.49</v>
      </c>
      <c r="J615" s="7" t="s">
        <v>58</v>
      </c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 t="s">
        <v>59</v>
      </c>
      <c r="V615" s="7" t="s">
        <v>129</v>
      </c>
      <c r="W615" s="7" t="s">
        <v>84</v>
      </c>
      <c r="X615" s="5" t="str">
        <f ca="1">IF(INDIRECT("W615")="Clássico","14%",IF(INDIRECT("W615")="Premium","19%","-"))</f>
        <v>19%</v>
      </c>
      <c r="Y615" s="7" t="s">
        <v>62</v>
      </c>
    </row>
    <row r="616" spans="1:25" ht="50" customHeight="1" x14ac:dyDescent="0.25">
      <c r="A616" s="5" t="s">
        <v>2874</v>
      </c>
      <c r="B616" s="5" t="s">
        <v>2875</v>
      </c>
      <c r="C616" s="5" t="s">
        <v>2876</v>
      </c>
      <c r="D616" s="5"/>
      <c r="E616" s="6" t="s">
        <v>2877</v>
      </c>
      <c r="F616" s="6" t="s">
        <v>2878</v>
      </c>
      <c r="G616" s="5" t="s">
        <v>2878</v>
      </c>
      <c r="H616" s="7">
        <v>5</v>
      </c>
      <c r="I616" s="7">
        <v>37.49</v>
      </c>
      <c r="J616" s="7" t="s">
        <v>58</v>
      </c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 t="s">
        <v>59</v>
      </c>
      <c r="V616" s="7" t="s">
        <v>60</v>
      </c>
      <c r="W616" s="7" t="s">
        <v>61</v>
      </c>
      <c r="X616" s="5" t="str">
        <f ca="1">IF(INDIRECT("W616")="Clássico","13%",IF(INDIRECT("W616")="Premium","17%","-"))</f>
        <v>13%</v>
      </c>
      <c r="Y616" s="7" t="s">
        <v>62</v>
      </c>
    </row>
    <row r="617" spans="1:25" ht="50" customHeight="1" x14ac:dyDescent="0.25">
      <c r="A617" s="5" t="s">
        <v>2879</v>
      </c>
      <c r="B617" s="5" t="s">
        <v>2880</v>
      </c>
      <c r="C617" s="5" t="s">
        <v>2881</v>
      </c>
      <c r="D617" s="5"/>
      <c r="E617" s="6" t="s">
        <v>2882</v>
      </c>
      <c r="F617" s="6" t="s">
        <v>2883</v>
      </c>
      <c r="G617" s="5" t="s">
        <v>2883</v>
      </c>
      <c r="H617" s="7">
        <v>72</v>
      </c>
      <c r="I617" s="7">
        <v>20.49</v>
      </c>
      <c r="J617" s="7" t="s">
        <v>58</v>
      </c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 t="s">
        <v>59</v>
      </c>
      <c r="V617" s="7" t="s">
        <v>60</v>
      </c>
      <c r="W617" s="7" t="s">
        <v>61</v>
      </c>
      <c r="X617" s="5" t="str">
        <f ca="1">IF(INDIRECT("W617")="Clássico","13%",IF(INDIRECT("W617")="Premium","17%","-"))</f>
        <v>13%</v>
      </c>
      <c r="Y617" s="7" t="s">
        <v>62</v>
      </c>
    </row>
    <row r="618" spans="1:25" ht="50" customHeight="1" x14ac:dyDescent="0.25">
      <c r="A618" s="5" t="s">
        <v>2884</v>
      </c>
      <c r="B618" s="5" t="s">
        <v>2885</v>
      </c>
      <c r="C618" s="5" t="s">
        <v>2886</v>
      </c>
      <c r="D618" s="5"/>
      <c r="E618" s="6" t="s">
        <v>2887</v>
      </c>
      <c r="F618" s="6" t="s">
        <v>2888</v>
      </c>
      <c r="G618" s="5" t="s">
        <v>2888</v>
      </c>
      <c r="H618" s="7">
        <v>10</v>
      </c>
      <c r="I618" s="7">
        <v>96.49</v>
      </c>
      <c r="J618" s="7" t="s">
        <v>58</v>
      </c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 t="s">
        <v>59</v>
      </c>
      <c r="V618" s="7" t="s">
        <v>101</v>
      </c>
      <c r="W618" s="7" t="s">
        <v>61</v>
      </c>
      <c r="X618" s="5" t="str">
        <f ca="1">IF(INDIRECT("W618")="Clássico","13%",IF(INDIRECT("W618")="Premium","17%","-"))</f>
        <v>13%</v>
      </c>
      <c r="Y618" s="7" t="s">
        <v>62</v>
      </c>
    </row>
    <row r="619" spans="1:25" ht="50" customHeight="1" x14ac:dyDescent="0.25">
      <c r="A619" s="5" t="s">
        <v>192</v>
      </c>
      <c r="B619" s="5" t="s">
        <v>2889</v>
      </c>
      <c r="C619" s="5" t="s">
        <v>194</v>
      </c>
      <c r="D619" s="5"/>
      <c r="E619" s="6" t="s">
        <v>195</v>
      </c>
      <c r="F619" s="6" t="s">
        <v>196</v>
      </c>
      <c r="G619" s="5" t="s">
        <v>196</v>
      </c>
      <c r="H619" s="7">
        <v>10</v>
      </c>
      <c r="I619" s="7">
        <v>58.49</v>
      </c>
      <c r="J619" s="7" t="s">
        <v>58</v>
      </c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 t="s">
        <v>59</v>
      </c>
      <c r="V619" s="7" t="s">
        <v>60</v>
      </c>
      <c r="W619" s="7" t="s">
        <v>61</v>
      </c>
      <c r="X619" s="5" t="str">
        <f ca="1">IF(INDIRECT("W619")="Clássico","14%",IF(INDIRECT("W619")="Premium","19%","-"))</f>
        <v>14%</v>
      </c>
      <c r="Y619" s="7" t="s">
        <v>62</v>
      </c>
    </row>
    <row r="620" spans="1:25" ht="50" customHeight="1" x14ac:dyDescent="0.25">
      <c r="A620" s="5" t="s">
        <v>2890</v>
      </c>
      <c r="B620" s="5" t="s">
        <v>2891</v>
      </c>
      <c r="C620" s="5" t="s">
        <v>2892</v>
      </c>
      <c r="D620" s="5"/>
      <c r="E620" s="6" t="s">
        <v>2893</v>
      </c>
      <c r="F620" s="6" t="s">
        <v>2894</v>
      </c>
      <c r="G620" s="5" t="s">
        <v>2894</v>
      </c>
      <c r="H620" s="7">
        <v>24</v>
      </c>
      <c r="I620" s="7">
        <v>25.49</v>
      </c>
      <c r="J620" s="7" t="s">
        <v>58</v>
      </c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 t="s">
        <v>59</v>
      </c>
      <c r="V620" s="7" t="s">
        <v>60</v>
      </c>
      <c r="W620" s="7" t="s">
        <v>61</v>
      </c>
      <c r="X620" s="5" t="str">
        <f ca="1">IF(INDIRECT("W620")="Clássico","13%",IF(INDIRECT("W620")="Premium","17%","-"))</f>
        <v>13%</v>
      </c>
      <c r="Y620" s="7" t="s">
        <v>62</v>
      </c>
    </row>
    <row r="621" spans="1:25" ht="50" customHeight="1" x14ac:dyDescent="0.25">
      <c r="A621" s="5" t="s">
        <v>2895</v>
      </c>
      <c r="B621" s="5" t="s">
        <v>2896</v>
      </c>
      <c r="C621" s="5" t="s">
        <v>2897</v>
      </c>
      <c r="D621" s="5"/>
      <c r="E621" s="6" t="s">
        <v>2898</v>
      </c>
      <c r="F621" s="6" t="s">
        <v>2899</v>
      </c>
      <c r="G621" s="5" t="s">
        <v>2899</v>
      </c>
      <c r="H621" s="7">
        <v>10</v>
      </c>
      <c r="I621" s="7">
        <v>70.489999999999995</v>
      </c>
      <c r="J621" s="7" t="s">
        <v>58</v>
      </c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 t="s">
        <v>59</v>
      </c>
      <c r="V621" s="7" t="s">
        <v>101</v>
      </c>
      <c r="W621" s="7" t="s">
        <v>61</v>
      </c>
      <c r="X621" s="5" t="str">
        <f ca="1">IF(INDIRECT("W621")="Clássico","13%",IF(INDIRECT("W621")="Premium","17%","-"))</f>
        <v>13%</v>
      </c>
      <c r="Y621" s="7" t="s">
        <v>62</v>
      </c>
    </row>
    <row r="622" spans="1:25" ht="50" customHeight="1" x14ac:dyDescent="0.25">
      <c r="A622" s="5" t="s">
        <v>2900</v>
      </c>
      <c r="B622" s="5" t="s">
        <v>2901</v>
      </c>
      <c r="C622" s="5" t="s">
        <v>2902</v>
      </c>
      <c r="D622" s="5"/>
      <c r="E622" s="6" t="s">
        <v>2903</v>
      </c>
      <c r="F622" s="6" t="s">
        <v>2904</v>
      </c>
      <c r="G622" s="5" t="s">
        <v>2904</v>
      </c>
      <c r="H622" s="7">
        <v>10</v>
      </c>
      <c r="I622" s="7">
        <v>57.49</v>
      </c>
      <c r="J622" s="7" t="s">
        <v>58</v>
      </c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 t="s">
        <v>59</v>
      </c>
      <c r="V622" s="7" t="s">
        <v>101</v>
      </c>
      <c r="W622" s="7" t="s">
        <v>61</v>
      </c>
      <c r="X622" s="5" t="str">
        <f ca="1">IF(INDIRECT("W622")="Clássico","13%",IF(INDIRECT("W622")="Premium","17%","-"))</f>
        <v>13%</v>
      </c>
      <c r="Y622" s="7" t="s">
        <v>62</v>
      </c>
    </row>
    <row r="623" spans="1:25" ht="50" customHeight="1" x14ac:dyDescent="0.25">
      <c r="A623" s="5" t="s">
        <v>2905</v>
      </c>
      <c r="B623" s="5" t="s">
        <v>2906</v>
      </c>
      <c r="C623" s="5" t="s">
        <v>2907</v>
      </c>
      <c r="D623" s="5"/>
      <c r="E623" s="6" t="s">
        <v>2908</v>
      </c>
      <c r="F623" s="6" t="s">
        <v>2909</v>
      </c>
      <c r="G623" s="5" t="s">
        <v>2909</v>
      </c>
      <c r="H623" s="7">
        <v>46</v>
      </c>
      <c r="I623" s="7">
        <v>89.49</v>
      </c>
      <c r="J623" s="7" t="s">
        <v>58</v>
      </c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 t="s">
        <v>59</v>
      </c>
      <c r="V623" s="7" t="s">
        <v>129</v>
      </c>
      <c r="W623" s="7" t="s">
        <v>61</v>
      </c>
      <c r="X623" s="5" t="str">
        <f ca="1">IF(INDIRECT("W623")="Clássico","14%",IF(INDIRECT("W623")="Premium","19%","-"))</f>
        <v>14%</v>
      </c>
      <c r="Y623" s="7" t="s">
        <v>62</v>
      </c>
    </row>
    <row r="624" spans="1:25" ht="50" customHeight="1" x14ac:dyDescent="0.25">
      <c r="A624" s="5" t="s">
        <v>2910</v>
      </c>
      <c r="B624" s="5" t="s">
        <v>2911</v>
      </c>
      <c r="C624" s="5" t="s">
        <v>2912</v>
      </c>
      <c r="D624" s="5"/>
      <c r="E624" s="6" t="s">
        <v>2913</v>
      </c>
      <c r="F624" s="6" t="s">
        <v>2914</v>
      </c>
      <c r="G624" s="5" t="s">
        <v>2914</v>
      </c>
      <c r="H624" s="7">
        <v>5</v>
      </c>
      <c r="I624" s="7">
        <v>203.49</v>
      </c>
      <c r="J624" s="7" t="s">
        <v>58</v>
      </c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5" t="s">
        <v>59</v>
      </c>
      <c r="V624" s="7" t="s">
        <v>129</v>
      </c>
      <c r="W624" s="7" t="s">
        <v>84</v>
      </c>
      <c r="X624" s="5" t="str">
        <f ca="1">IF(INDIRECT("W624")="Clássico","14%",IF(INDIRECT("W624")="Premium","19%","-"))</f>
        <v>19%</v>
      </c>
      <c r="Y624" s="7" t="s">
        <v>62</v>
      </c>
    </row>
    <row r="625" spans="1:25" ht="50" customHeight="1" x14ac:dyDescent="0.25">
      <c r="A625" s="5" t="s">
        <v>1410</v>
      </c>
      <c r="B625" s="5" t="s">
        <v>2915</v>
      </c>
      <c r="C625" s="5" t="s">
        <v>2916</v>
      </c>
      <c r="D625" s="5"/>
      <c r="E625" s="6" t="s">
        <v>1413</v>
      </c>
      <c r="F625" s="6" t="s">
        <v>2917</v>
      </c>
      <c r="G625" s="5" t="s">
        <v>2917</v>
      </c>
      <c r="H625" s="7">
        <v>12</v>
      </c>
      <c r="I625" s="7">
        <v>26.49</v>
      </c>
      <c r="J625" s="7" t="s">
        <v>58</v>
      </c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 t="s">
        <v>59</v>
      </c>
      <c r="V625" s="7" t="s">
        <v>101</v>
      </c>
      <c r="W625" s="7" t="s">
        <v>61</v>
      </c>
      <c r="X625" s="5" t="str">
        <f ca="1">IF(INDIRECT("W625")="Clássico","13%",IF(INDIRECT("W625")="Premium","17%","-"))</f>
        <v>13%</v>
      </c>
      <c r="Y625" s="7" t="s">
        <v>62</v>
      </c>
    </row>
    <row r="626" spans="1:25" ht="50" customHeight="1" x14ac:dyDescent="0.25">
      <c r="A626" s="5" t="s">
        <v>2918</v>
      </c>
      <c r="B626" s="5" t="s">
        <v>2919</v>
      </c>
      <c r="C626" s="5" t="s">
        <v>2920</v>
      </c>
      <c r="D626" s="5"/>
      <c r="E626" s="6" t="s">
        <v>2921</v>
      </c>
      <c r="F626" s="6" t="s">
        <v>2922</v>
      </c>
      <c r="G626" s="5" t="s">
        <v>2922</v>
      </c>
      <c r="H626" s="7">
        <v>10</v>
      </c>
      <c r="I626" s="7">
        <v>26.49</v>
      </c>
      <c r="J626" s="7" t="s">
        <v>58</v>
      </c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 t="s">
        <v>59</v>
      </c>
      <c r="V626" s="7" t="s">
        <v>101</v>
      </c>
      <c r="W626" s="7" t="s">
        <v>61</v>
      </c>
      <c r="X626" s="5" t="str">
        <f ca="1">IF(INDIRECT("W626")="Clássico","13%",IF(INDIRECT("W626")="Premium","17%","-"))</f>
        <v>13%</v>
      </c>
      <c r="Y626" s="7" t="s">
        <v>62</v>
      </c>
    </row>
    <row r="627" spans="1:25" ht="50" customHeight="1" x14ac:dyDescent="0.25">
      <c r="A627" s="5" t="s">
        <v>2923</v>
      </c>
      <c r="B627" s="5" t="s">
        <v>2924</v>
      </c>
      <c r="C627" s="5" t="s">
        <v>2925</v>
      </c>
      <c r="D627" s="5"/>
      <c r="E627" s="6" t="s">
        <v>2926</v>
      </c>
      <c r="F627" s="6" t="s">
        <v>2927</v>
      </c>
      <c r="G627" s="5" t="s">
        <v>2927</v>
      </c>
      <c r="H627" s="7">
        <v>12</v>
      </c>
      <c r="I627" s="7">
        <v>26.49</v>
      </c>
      <c r="J627" s="7" t="s">
        <v>58</v>
      </c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 t="s">
        <v>59</v>
      </c>
      <c r="V627" s="7" t="s">
        <v>101</v>
      </c>
      <c r="W627" s="7" t="s">
        <v>61</v>
      </c>
      <c r="X627" s="5" t="str">
        <f ca="1">IF(INDIRECT("W627")="Clássico","13%",IF(INDIRECT("W627")="Premium","17%","-"))</f>
        <v>13%</v>
      </c>
      <c r="Y627" s="7" t="s">
        <v>62</v>
      </c>
    </row>
    <row r="628" spans="1:25" ht="50" customHeight="1" x14ac:dyDescent="0.25">
      <c r="A628" s="5" t="s">
        <v>2928</v>
      </c>
      <c r="B628" s="5" t="s">
        <v>2929</v>
      </c>
      <c r="C628" s="5" t="s">
        <v>2930</v>
      </c>
      <c r="D628" s="5"/>
      <c r="E628" s="6" t="s">
        <v>2931</v>
      </c>
      <c r="F628" s="6" t="s">
        <v>2932</v>
      </c>
      <c r="G628" s="5" t="s">
        <v>2932</v>
      </c>
      <c r="H628" s="7">
        <v>10</v>
      </c>
      <c r="I628" s="7">
        <v>26.49</v>
      </c>
      <c r="J628" s="7" t="s">
        <v>58</v>
      </c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 t="s">
        <v>59</v>
      </c>
      <c r="V628" s="7" t="s">
        <v>101</v>
      </c>
      <c r="W628" s="7" t="s">
        <v>61</v>
      </c>
      <c r="X628" s="5" t="str">
        <f ca="1">IF(INDIRECT("W628")="Clássico","13%",IF(INDIRECT("W628")="Premium","17%","-"))</f>
        <v>13%</v>
      </c>
      <c r="Y628" s="7" t="s">
        <v>62</v>
      </c>
    </row>
    <row r="629" spans="1:25" ht="50" customHeight="1" x14ac:dyDescent="0.25">
      <c r="A629" s="5" t="s">
        <v>2933</v>
      </c>
      <c r="B629" s="5" t="s">
        <v>2934</v>
      </c>
      <c r="C629" s="5" t="s">
        <v>2935</v>
      </c>
      <c r="D629" s="5"/>
      <c r="E629" s="6" t="s">
        <v>2936</v>
      </c>
      <c r="F629" s="6" t="s">
        <v>2937</v>
      </c>
      <c r="G629" s="5" t="s">
        <v>2937</v>
      </c>
      <c r="H629" s="7">
        <v>12</v>
      </c>
      <c r="I629" s="7">
        <v>26.49</v>
      </c>
      <c r="J629" s="7" t="s">
        <v>58</v>
      </c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 t="s">
        <v>59</v>
      </c>
      <c r="V629" s="7" t="s">
        <v>101</v>
      </c>
      <c r="W629" s="7" t="s">
        <v>61</v>
      </c>
      <c r="X629" s="5" t="str">
        <f ca="1">IF(INDIRECT("W629")="Clássico","13%",IF(INDIRECT("W629")="Premium","17%","-"))</f>
        <v>13%</v>
      </c>
      <c r="Y629" s="7" t="s">
        <v>62</v>
      </c>
    </row>
    <row r="630" spans="1:25" ht="50" customHeight="1" x14ac:dyDescent="0.25">
      <c r="A630" s="5" t="s">
        <v>2938</v>
      </c>
      <c r="B630" s="5" t="s">
        <v>2939</v>
      </c>
      <c r="C630" s="5" t="s">
        <v>2940</v>
      </c>
      <c r="D630" s="5"/>
      <c r="E630" s="6" t="s">
        <v>2941</v>
      </c>
      <c r="F630" s="6" t="s">
        <v>2942</v>
      </c>
      <c r="G630" s="5" t="s">
        <v>2942</v>
      </c>
      <c r="H630" s="7">
        <v>8</v>
      </c>
      <c r="I630" s="7">
        <v>26.49</v>
      </c>
      <c r="J630" s="7" t="s">
        <v>58</v>
      </c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 t="s">
        <v>59</v>
      </c>
      <c r="V630" s="7" t="s">
        <v>60</v>
      </c>
      <c r="W630" s="7" t="s">
        <v>61</v>
      </c>
      <c r="X630" s="5" t="str">
        <f ca="1">IF(INDIRECT("W630")="Clássico","13%",IF(INDIRECT("W630")="Premium","17%","-"))</f>
        <v>13%</v>
      </c>
      <c r="Y630" s="7" t="s">
        <v>62</v>
      </c>
    </row>
    <row r="631" spans="1:25" ht="50" customHeight="1" x14ac:dyDescent="0.25">
      <c r="A631" s="5" t="s">
        <v>2943</v>
      </c>
      <c r="B631" s="5" t="s">
        <v>2944</v>
      </c>
      <c r="C631" s="5" t="s">
        <v>2945</v>
      </c>
      <c r="D631" s="5"/>
      <c r="E631" s="6" t="s">
        <v>2946</v>
      </c>
      <c r="F631" s="6" t="s">
        <v>2947</v>
      </c>
      <c r="G631" s="5" t="s">
        <v>2947</v>
      </c>
      <c r="H631" s="7">
        <v>12</v>
      </c>
      <c r="I631" s="7">
        <v>18.489999999999998</v>
      </c>
      <c r="J631" s="7" t="s">
        <v>58</v>
      </c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 t="s">
        <v>59</v>
      </c>
      <c r="V631" s="7" t="s">
        <v>60</v>
      </c>
      <c r="W631" s="7" t="s">
        <v>61</v>
      </c>
      <c r="X631" s="5" t="str">
        <f ca="1">IF(INDIRECT("W631")="Clássico","12%",IF(INDIRECT("W631")="Premium","17%","-"))</f>
        <v>12%</v>
      </c>
      <c r="Y631" s="7" t="s">
        <v>62</v>
      </c>
    </row>
    <row r="632" spans="1:25" ht="50" customHeight="1" x14ac:dyDescent="0.25">
      <c r="A632" s="5" t="s">
        <v>2948</v>
      </c>
      <c r="B632" s="5" t="s">
        <v>2949</v>
      </c>
      <c r="C632" s="5" t="s">
        <v>2950</v>
      </c>
      <c r="D632" s="5"/>
      <c r="E632" s="6" t="s">
        <v>2951</v>
      </c>
      <c r="F632" s="6" t="s">
        <v>2952</v>
      </c>
      <c r="G632" s="5" t="s">
        <v>2952</v>
      </c>
      <c r="H632" s="7">
        <v>12</v>
      </c>
      <c r="I632" s="7">
        <v>24.49</v>
      </c>
      <c r="J632" s="7" t="s">
        <v>58</v>
      </c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 t="s">
        <v>59</v>
      </c>
      <c r="V632" s="7" t="s">
        <v>60</v>
      </c>
      <c r="W632" s="7" t="s">
        <v>61</v>
      </c>
      <c r="X632" s="5" t="str">
        <f ca="1">IF(INDIRECT("W632")="Clássico","13%",IF(INDIRECT("W632")="Premium","17%","-"))</f>
        <v>13%</v>
      </c>
      <c r="Y632" s="7" t="s">
        <v>62</v>
      </c>
    </row>
    <row r="633" spans="1:25" ht="50" customHeight="1" x14ac:dyDescent="0.25">
      <c r="A633" s="5" t="s">
        <v>2953</v>
      </c>
      <c r="B633" s="5" t="s">
        <v>2954</v>
      </c>
      <c r="C633" s="5" t="s">
        <v>2955</v>
      </c>
      <c r="D633" s="5"/>
      <c r="E633" s="6" t="s">
        <v>2956</v>
      </c>
      <c r="F633" s="6" t="s">
        <v>2957</v>
      </c>
      <c r="G633" s="5" t="s">
        <v>2957</v>
      </c>
      <c r="H633" s="7">
        <v>12</v>
      </c>
      <c r="I633" s="7">
        <v>26.49</v>
      </c>
      <c r="J633" s="7" t="s">
        <v>58</v>
      </c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 t="s">
        <v>59</v>
      </c>
      <c r="V633" s="7" t="s">
        <v>101</v>
      </c>
      <c r="W633" s="7" t="s">
        <v>61</v>
      </c>
      <c r="X633" s="5" t="str">
        <f ca="1">IF(INDIRECT("W633")="Clássico","13%",IF(INDIRECT("W633")="Premium","17%","-"))</f>
        <v>13%</v>
      </c>
      <c r="Y633" s="7" t="s">
        <v>62</v>
      </c>
    </row>
    <row r="634" spans="1:25" ht="50" customHeight="1" x14ac:dyDescent="0.25">
      <c r="A634" s="5" t="s">
        <v>2958</v>
      </c>
      <c r="B634" s="5" t="s">
        <v>2959</v>
      </c>
      <c r="C634" s="5" t="s">
        <v>2960</v>
      </c>
      <c r="D634" s="5"/>
      <c r="E634" s="6" t="s">
        <v>2961</v>
      </c>
      <c r="F634" s="6" t="s">
        <v>2962</v>
      </c>
      <c r="G634" s="5" t="s">
        <v>2962</v>
      </c>
      <c r="H634" s="7">
        <v>4</v>
      </c>
      <c r="I634" s="7">
        <v>26.49</v>
      </c>
      <c r="J634" s="7" t="s">
        <v>58</v>
      </c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 t="s">
        <v>59</v>
      </c>
      <c r="V634" s="7" t="s">
        <v>101</v>
      </c>
      <c r="W634" s="7" t="s">
        <v>61</v>
      </c>
      <c r="X634" s="5" t="str">
        <f ca="1">IF(INDIRECT("W634")="Clássico","13%",IF(INDIRECT("W634")="Premium","17%","-"))</f>
        <v>13%</v>
      </c>
      <c r="Y634" s="7" t="s">
        <v>62</v>
      </c>
    </row>
    <row r="635" spans="1:25" ht="50" customHeight="1" x14ac:dyDescent="0.25">
      <c r="A635" s="5" t="s">
        <v>2963</v>
      </c>
      <c r="B635" s="5" t="s">
        <v>2964</v>
      </c>
      <c r="C635" s="5" t="s">
        <v>2965</v>
      </c>
      <c r="D635" s="5"/>
      <c r="E635" s="6" t="s">
        <v>2966</v>
      </c>
      <c r="F635" s="6" t="s">
        <v>2967</v>
      </c>
      <c r="G635" s="5" t="s">
        <v>2967</v>
      </c>
      <c r="H635" s="7">
        <v>12</v>
      </c>
      <c r="I635" s="7">
        <v>26.49</v>
      </c>
      <c r="J635" s="7" t="s">
        <v>58</v>
      </c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 t="s">
        <v>59</v>
      </c>
      <c r="V635" s="7" t="s">
        <v>101</v>
      </c>
      <c r="W635" s="7" t="s">
        <v>61</v>
      </c>
      <c r="X635" s="5" t="str">
        <f ca="1">IF(INDIRECT("W635")="Clássico","13%",IF(INDIRECT("W635")="Premium","17%","-"))</f>
        <v>13%</v>
      </c>
      <c r="Y635" s="7" t="s">
        <v>62</v>
      </c>
    </row>
    <row r="636" spans="1:25" ht="50" customHeight="1" x14ac:dyDescent="0.25">
      <c r="A636" s="5" t="s">
        <v>1493</v>
      </c>
      <c r="B636" s="5" t="s">
        <v>2968</v>
      </c>
      <c r="C636" s="5" t="s">
        <v>2969</v>
      </c>
      <c r="D636" s="5"/>
      <c r="E636" s="6" t="s">
        <v>1496</v>
      </c>
      <c r="F636" s="6" t="s">
        <v>2970</v>
      </c>
      <c r="G636" s="5" t="s">
        <v>2970</v>
      </c>
      <c r="H636" s="7">
        <v>12</v>
      </c>
      <c r="I636" s="7">
        <v>26.49</v>
      </c>
      <c r="J636" s="7" t="s">
        <v>58</v>
      </c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 t="s">
        <v>59</v>
      </c>
      <c r="V636" s="7" t="s">
        <v>101</v>
      </c>
      <c r="W636" s="7" t="s">
        <v>61</v>
      </c>
      <c r="X636" s="5" t="str">
        <f ca="1">IF(INDIRECT("W636")="Clássico","13%",IF(INDIRECT("W636")="Premium","17%","-"))</f>
        <v>13%</v>
      </c>
      <c r="Y636" s="7" t="s">
        <v>62</v>
      </c>
    </row>
    <row r="637" spans="1:25" ht="50" customHeight="1" x14ac:dyDescent="0.25">
      <c r="A637" s="5" t="s">
        <v>2971</v>
      </c>
      <c r="B637" s="5" t="s">
        <v>2972</v>
      </c>
      <c r="C637" s="5" t="s">
        <v>2973</v>
      </c>
      <c r="D637" s="5"/>
      <c r="E637" s="6" t="s">
        <v>2974</v>
      </c>
      <c r="F637" s="6" t="s">
        <v>2975</v>
      </c>
      <c r="G637" s="5" t="s">
        <v>2975</v>
      </c>
      <c r="H637" s="7">
        <v>12</v>
      </c>
      <c r="I637" s="7">
        <v>26.49</v>
      </c>
      <c r="J637" s="7" t="s">
        <v>58</v>
      </c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 t="s">
        <v>59</v>
      </c>
      <c r="V637" s="7" t="s">
        <v>101</v>
      </c>
      <c r="W637" s="7" t="s">
        <v>61</v>
      </c>
      <c r="X637" s="5" t="str">
        <f ca="1">IF(INDIRECT("W637")="Clássico","13%",IF(INDIRECT("W637")="Premium","17%","-"))</f>
        <v>13%</v>
      </c>
      <c r="Y637" s="7" t="s">
        <v>62</v>
      </c>
    </row>
    <row r="638" spans="1:25" ht="50" customHeight="1" x14ac:dyDescent="0.25">
      <c r="A638" s="5" t="s">
        <v>2976</v>
      </c>
      <c r="B638" s="5" t="s">
        <v>2977</v>
      </c>
      <c r="C638" s="5" t="s">
        <v>2978</v>
      </c>
      <c r="D638" s="5"/>
      <c r="E638" s="6" t="s">
        <v>2979</v>
      </c>
      <c r="F638" s="6" t="s">
        <v>2980</v>
      </c>
      <c r="G638" s="5" t="s">
        <v>2980</v>
      </c>
      <c r="H638" s="7">
        <v>4</v>
      </c>
      <c r="I638" s="7">
        <v>22.49</v>
      </c>
      <c r="J638" s="7" t="s">
        <v>58</v>
      </c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 t="s">
        <v>59</v>
      </c>
      <c r="V638" s="7" t="s">
        <v>60</v>
      </c>
      <c r="W638" s="7" t="s">
        <v>61</v>
      </c>
      <c r="X638" s="5" t="str">
        <f ca="1">IF(INDIRECT("W638")="Clássico","13%",IF(INDIRECT("W638")="Premium","17%","-"))</f>
        <v>13%</v>
      </c>
      <c r="Y638" s="7" t="s">
        <v>62</v>
      </c>
    </row>
    <row r="639" spans="1:25" ht="50" customHeight="1" x14ac:dyDescent="0.25">
      <c r="A639" s="5" t="s">
        <v>1498</v>
      </c>
      <c r="B639" s="5" t="s">
        <v>2981</v>
      </c>
      <c r="C639" s="5" t="s">
        <v>2982</v>
      </c>
      <c r="D639" s="5"/>
      <c r="E639" s="6" t="s">
        <v>1501</v>
      </c>
      <c r="F639" s="6" t="s">
        <v>2983</v>
      </c>
      <c r="G639" s="5" t="s">
        <v>2983</v>
      </c>
      <c r="H639" s="7">
        <v>12</v>
      </c>
      <c r="I639" s="7">
        <v>26.49</v>
      </c>
      <c r="J639" s="7" t="s">
        <v>58</v>
      </c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 t="s">
        <v>59</v>
      </c>
      <c r="V639" s="7" t="s">
        <v>101</v>
      </c>
      <c r="W639" s="7" t="s">
        <v>61</v>
      </c>
      <c r="X639" s="5" t="str">
        <f ca="1">IF(INDIRECT("W639")="Clássico","13%",IF(INDIRECT("W639")="Premium","17%","-"))</f>
        <v>13%</v>
      </c>
      <c r="Y639" s="7" t="s">
        <v>62</v>
      </c>
    </row>
    <row r="640" spans="1:25" ht="50" customHeight="1" x14ac:dyDescent="0.25">
      <c r="A640" s="5" t="s">
        <v>1503</v>
      </c>
      <c r="B640" s="5" t="s">
        <v>2984</v>
      </c>
      <c r="C640" s="5" t="s">
        <v>2985</v>
      </c>
      <c r="D640" s="5"/>
      <c r="E640" s="6" t="s">
        <v>1506</v>
      </c>
      <c r="F640" s="6" t="s">
        <v>2986</v>
      </c>
      <c r="G640" s="5" t="s">
        <v>2986</v>
      </c>
      <c r="H640" s="7">
        <v>12</v>
      </c>
      <c r="I640" s="7">
        <v>26.49</v>
      </c>
      <c r="J640" s="7" t="s">
        <v>58</v>
      </c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 t="s">
        <v>59</v>
      </c>
      <c r="V640" s="7" t="s">
        <v>101</v>
      </c>
      <c r="W640" s="7" t="s">
        <v>61</v>
      </c>
      <c r="X640" s="5" t="str">
        <f ca="1">IF(INDIRECT("W640")="Clássico","13%",IF(INDIRECT("W640")="Premium","17%","-"))</f>
        <v>13%</v>
      </c>
      <c r="Y640" s="7" t="s">
        <v>62</v>
      </c>
    </row>
    <row r="641" spans="1:25" ht="50" customHeight="1" x14ac:dyDescent="0.25">
      <c r="A641" s="5" t="s">
        <v>2987</v>
      </c>
      <c r="B641" s="5" t="s">
        <v>2988</v>
      </c>
      <c r="C641" s="5" t="s">
        <v>2989</v>
      </c>
      <c r="D641" s="5"/>
      <c r="E641" s="6" t="s">
        <v>2990</v>
      </c>
      <c r="F641" s="6" t="s">
        <v>2991</v>
      </c>
      <c r="G641" s="5" t="s">
        <v>2991</v>
      </c>
      <c r="H641" s="7">
        <v>12</v>
      </c>
      <c r="I641" s="7">
        <v>26.49</v>
      </c>
      <c r="J641" s="7" t="s">
        <v>58</v>
      </c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 t="s">
        <v>59</v>
      </c>
      <c r="V641" s="7" t="s">
        <v>101</v>
      </c>
      <c r="W641" s="7" t="s">
        <v>61</v>
      </c>
      <c r="X641" s="5" t="str">
        <f ca="1">IF(INDIRECT("W641")="Clássico","13%",IF(INDIRECT("W641")="Premium","17%","-"))</f>
        <v>13%</v>
      </c>
      <c r="Y641" s="7" t="s">
        <v>62</v>
      </c>
    </row>
    <row r="642" spans="1:25" ht="50" customHeight="1" x14ac:dyDescent="0.25">
      <c r="A642" s="5" t="s">
        <v>1365</v>
      </c>
      <c r="B642" s="5" t="s">
        <v>2992</v>
      </c>
      <c r="C642" s="5" t="s">
        <v>1367</v>
      </c>
      <c r="D642" s="5"/>
      <c r="E642" s="6" t="s">
        <v>1368</v>
      </c>
      <c r="F642" s="6" t="s">
        <v>2993</v>
      </c>
      <c r="G642" s="5" t="s">
        <v>2993</v>
      </c>
      <c r="H642" s="7">
        <v>2</v>
      </c>
      <c r="I642" s="7">
        <v>33.49</v>
      </c>
      <c r="J642" s="7" t="s">
        <v>58</v>
      </c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 t="s">
        <v>59</v>
      </c>
      <c r="V642" s="7" t="s">
        <v>60</v>
      </c>
      <c r="W642" s="7" t="s">
        <v>61</v>
      </c>
      <c r="X642" s="5" t="str">
        <f ca="1">IF(INDIRECT("W642")="Clássico","13%",IF(INDIRECT("W642")="Premium","17%","-"))</f>
        <v>13%</v>
      </c>
      <c r="Y642" s="7" t="s">
        <v>62</v>
      </c>
    </row>
    <row r="643" spans="1:25" ht="50" customHeight="1" x14ac:dyDescent="0.25">
      <c r="A643" s="5" t="s">
        <v>2994</v>
      </c>
      <c r="B643" s="5" t="s">
        <v>2995</v>
      </c>
      <c r="C643" s="5" t="s">
        <v>2996</v>
      </c>
      <c r="D643" s="5"/>
      <c r="E643" s="6" t="s">
        <v>2997</v>
      </c>
      <c r="F643" s="6" t="s">
        <v>2998</v>
      </c>
      <c r="G643" s="5" t="s">
        <v>2998</v>
      </c>
      <c r="H643" s="7">
        <v>12</v>
      </c>
      <c r="I643" s="7">
        <v>30.49</v>
      </c>
      <c r="J643" s="7" t="s">
        <v>58</v>
      </c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 t="s">
        <v>59</v>
      </c>
      <c r="V643" s="7" t="s">
        <v>60</v>
      </c>
      <c r="W643" s="7" t="s">
        <v>61</v>
      </c>
      <c r="X643" s="5" t="str">
        <f ca="1">IF(INDIRECT("W643")="Clássico","13%",IF(INDIRECT("W643")="Premium","17%","-"))</f>
        <v>13%</v>
      </c>
      <c r="Y643" s="7" t="s">
        <v>62</v>
      </c>
    </row>
    <row r="644" spans="1:25" ht="50" customHeight="1" x14ac:dyDescent="0.25">
      <c r="A644" s="5" t="s">
        <v>2999</v>
      </c>
      <c r="B644" s="5" t="s">
        <v>3000</v>
      </c>
      <c r="C644" s="5" t="s">
        <v>3001</v>
      </c>
      <c r="D644" s="5"/>
      <c r="E644" s="6" t="s">
        <v>3002</v>
      </c>
      <c r="F644" s="6" t="s">
        <v>3003</v>
      </c>
      <c r="G644" s="5" t="s">
        <v>3003</v>
      </c>
      <c r="H644" s="7">
        <v>6</v>
      </c>
      <c r="I644" s="7">
        <v>30.49</v>
      </c>
      <c r="J644" s="7" t="s">
        <v>58</v>
      </c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 t="s">
        <v>59</v>
      </c>
      <c r="V644" s="7" t="s">
        <v>60</v>
      </c>
      <c r="W644" s="7" t="s">
        <v>61</v>
      </c>
      <c r="X644" s="5" t="str">
        <f ca="1">IF(INDIRECT("W644")="Clássico","13%",IF(INDIRECT("W644")="Premium","17%","-"))</f>
        <v>13%</v>
      </c>
      <c r="Y644" s="7" t="s">
        <v>62</v>
      </c>
    </row>
    <row r="645" spans="1:25" ht="50" customHeight="1" x14ac:dyDescent="0.25">
      <c r="A645" s="5" t="s">
        <v>3004</v>
      </c>
      <c r="B645" s="5" t="s">
        <v>3005</v>
      </c>
      <c r="C645" s="5" t="s">
        <v>3006</v>
      </c>
      <c r="D645" s="5"/>
      <c r="E645" s="6" t="s">
        <v>3007</v>
      </c>
      <c r="F645" s="6" t="s">
        <v>3008</v>
      </c>
      <c r="G645" s="5" t="s">
        <v>1993</v>
      </c>
      <c r="H645" s="7">
        <v>10</v>
      </c>
      <c r="I645" s="7">
        <v>20.49</v>
      </c>
      <c r="J645" s="7" t="s">
        <v>58</v>
      </c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 t="s">
        <v>59</v>
      </c>
      <c r="V645" s="7" t="s">
        <v>60</v>
      </c>
      <c r="W645" s="7" t="s">
        <v>61</v>
      </c>
      <c r="X645" s="5" t="str">
        <f ca="1">IF(INDIRECT("W645")="Clássico","13%",IF(INDIRECT("W645")="Premium","17%","-"))</f>
        <v>13%</v>
      </c>
      <c r="Y645" s="7" t="s">
        <v>62</v>
      </c>
    </row>
    <row r="646" spans="1:25" ht="50" customHeight="1" x14ac:dyDescent="0.25">
      <c r="A646" s="5" t="s">
        <v>2818</v>
      </c>
      <c r="B646" s="5" t="s">
        <v>3009</v>
      </c>
      <c r="C646" s="5" t="s">
        <v>2820</v>
      </c>
      <c r="D646" s="5"/>
      <c r="E646" s="6" t="s">
        <v>2821</v>
      </c>
      <c r="F646" s="5" t="s">
        <v>3010</v>
      </c>
      <c r="G646" s="5" t="s">
        <v>78</v>
      </c>
      <c r="H646" s="7">
        <v>60</v>
      </c>
      <c r="I646" s="7">
        <v>243.49</v>
      </c>
      <c r="J646" s="7" t="s">
        <v>58</v>
      </c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5" t="s">
        <v>59</v>
      </c>
      <c r="V646" s="7" t="s">
        <v>129</v>
      </c>
      <c r="W646" s="7" t="s">
        <v>84</v>
      </c>
      <c r="X646" s="5" t="str">
        <f ca="1">IF(INDIRECT("W646")="Clássico","14%",IF(INDIRECT("W646")="Premium","19%","-"))</f>
        <v>19%</v>
      </c>
      <c r="Y646" s="7" t="s">
        <v>62</v>
      </c>
    </row>
    <row r="647" spans="1:25" ht="50" customHeight="1" x14ac:dyDescent="0.25">
      <c r="A647" s="5" t="s">
        <v>2345</v>
      </c>
      <c r="B647" s="5" t="s">
        <v>3011</v>
      </c>
      <c r="C647" s="5" t="s">
        <v>2347</v>
      </c>
      <c r="D647" s="5"/>
      <c r="E647" s="6" t="s">
        <v>2348</v>
      </c>
      <c r="F647" s="5" t="s">
        <v>3012</v>
      </c>
      <c r="G647" s="5" t="s">
        <v>78</v>
      </c>
      <c r="H647" s="7">
        <v>500</v>
      </c>
      <c r="I647" s="7">
        <v>39.49</v>
      </c>
      <c r="J647" s="7" t="s">
        <v>58</v>
      </c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5" t="s">
        <v>59</v>
      </c>
      <c r="V647" s="7" t="s">
        <v>60</v>
      </c>
      <c r="W647" s="7" t="s">
        <v>61</v>
      </c>
      <c r="X647" s="5" t="str">
        <f ca="1">IF(INDIRECT("W647")="Clássico","14%",IF(INDIRECT("W647")="Premium","19%","-"))</f>
        <v>14%</v>
      </c>
      <c r="Y647" s="7" t="s">
        <v>62</v>
      </c>
    </row>
    <row r="648" spans="1:25" ht="50" customHeight="1" x14ac:dyDescent="0.25">
      <c r="A648" s="5" t="s">
        <v>1287</v>
      </c>
      <c r="B648" s="5" t="s">
        <v>3013</v>
      </c>
      <c r="C648" s="5" t="s">
        <v>1289</v>
      </c>
      <c r="D648" s="5"/>
      <c r="E648" s="6" t="s">
        <v>1290</v>
      </c>
      <c r="F648" s="5" t="s">
        <v>3014</v>
      </c>
      <c r="G648" s="5" t="s">
        <v>78</v>
      </c>
      <c r="H648" s="7">
        <v>6</v>
      </c>
      <c r="I648" s="7">
        <v>22.35</v>
      </c>
      <c r="J648" s="7" t="s">
        <v>58</v>
      </c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5" t="s">
        <v>59</v>
      </c>
      <c r="V648" s="7" t="s">
        <v>60</v>
      </c>
      <c r="W648" s="7" t="s">
        <v>61</v>
      </c>
      <c r="X648" s="5" t="str">
        <f ca="1">IF(INDIRECT("W648")="Clássico","12%",IF(INDIRECT("W648")="Premium","17%","-"))</f>
        <v>12%</v>
      </c>
      <c r="Y648" s="7" t="s">
        <v>62</v>
      </c>
    </row>
    <row r="649" spans="1:25" ht="50" customHeight="1" x14ac:dyDescent="0.25">
      <c r="A649" s="5" t="s">
        <v>955</v>
      </c>
      <c r="B649" s="5" t="s">
        <v>3015</v>
      </c>
      <c r="C649" s="5" t="s">
        <v>957</v>
      </c>
      <c r="D649" s="5"/>
      <c r="E649" s="6" t="s">
        <v>958</v>
      </c>
      <c r="F649" s="5" t="s">
        <v>3016</v>
      </c>
      <c r="G649" s="5" t="s">
        <v>78</v>
      </c>
      <c r="H649" s="7">
        <v>2</v>
      </c>
      <c r="I649" s="7">
        <v>201.99</v>
      </c>
      <c r="J649" s="7" t="s">
        <v>58</v>
      </c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5" t="s">
        <v>59</v>
      </c>
      <c r="V649" s="7" t="s">
        <v>129</v>
      </c>
      <c r="W649" s="7" t="s">
        <v>84</v>
      </c>
      <c r="X649" s="5" t="str">
        <f ca="1">IF(INDIRECT("W649")="Clássico","14%",IF(INDIRECT("W649")="Premium","19%","-"))</f>
        <v>19%</v>
      </c>
      <c r="Y649" s="7" t="s">
        <v>62</v>
      </c>
    </row>
    <row r="650" spans="1:25" ht="50" customHeight="1" x14ac:dyDescent="0.25">
      <c r="A650" s="5" t="s">
        <v>2193</v>
      </c>
      <c r="B650" s="5" t="s">
        <v>3017</v>
      </c>
      <c r="C650" s="5" t="s">
        <v>2195</v>
      </c>
      <c r="D650" s="5"/>
      <c r="E650" s="6" t="s">
        <v>2196</v>
      </c>
      <c r="F650" s="5" t="s">
        <v>3018</v>
      </c>
      <c r="G650" s="5" t="s">
        <v>78</v>
      </c>
      <c r="H650" s="7">
        <v>12</v>
      </c>
      <c r="I650" s="7">
        <v>23.49</v>
      </c>
      <c r="J650" s="7" t="s">
        <v>58</v>
      </c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5" t="s">
        <v>59</v>
      </c>
      <c r="V650" s="7" t="s">
        <v>60</v>
      </c>
      <c r="W650" s="7" t="s">
        <v>61</v>
      </c>
      <c r="X650" s="5" t="str">
        <f ca="1">IF(INDIRECT("W650")="Clássico","12%",IF(INDIRECT("W650")="Premium","17%","-"))</f>
        <v>12%</v>
      </c>
      <c r="Y650" s="7" t="s">
        <v>62</v>
      </c>
    </row>
    <row r="651" spans="1:25" ht="50" customHeight="1" x14ac:dyDescent="0.25">
      <c r="A651" s="5" t="s">
        <v>1172</v>
      </c>
      <c r="B651" s="5" t="s">
        <v>3019</v>
      </c>
      <c r="C651" s="5" t="s">
        <v>1174</v>
      </c>
      <c r="D651" s="5"/>
      <c r="E651" s="6" t="s">
        <v>1175</v>
      </c>
      <c r="F651" s="5" t="s">
        <v>3020</v>
      </c>
      <c r="G651" s="5" t="s">
        <v>78</v>
      </c>
      <c r="H651" s="7">
        <v>7</v>
      </c>
      <c r="I651" s="7">
        <v>79.7</v>
      </c>
      <c r="J651" s="7" t="s">
        <v>58</v>
      </c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5" t="s">
        <v>59</v>
      </c>
      <c r="V651" s="7" t="s">
        <v>129</v>
      </c>
      <c r="W651" s="7" t="s">
        <v>61</v>
      </c>
      <c r="X651" s="5" t="str">
        <f ca="1">IF(INDIRECT("W651")="Clássico","14%",IF(INDIRECT("W651")="Premium","19%","-"))</f>
        <v>14%</v>
      </c>
      <c r="Y651" s="7" t="s">
        <v>62</v>
      </c>
    </row>
    <row r="652" spans="1:25" ht="50" customHeight="1" x14ac:dyDescent="0.25">
      <c r="A652" s="5" t="s">
        <v>364</v>
      </c>
      <c r="B652" s="5" t="s">
        <v>3021</v>
      </c>
      <c r="C652" s="5" t="s">
        <v>366</v>
      </c>
      <c r="D652" s="5"/>
      <c r="E652" s="6" t="s">
        <v>367</v>
      </c>
      <c r="F652" s="5" t="s">
        <v>3022</v>
      </c>
      <c r="G652" s="5" t="s">
        <v>78</v>
      </c>
      <c r="H652" s="7">
        <v>39</v>
      </c>
      <c r="I652" s="7">
        <v>20.49</v>
      </c>
      <c r="J652" s="7" t="s">
        <v>58</v>
      </c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5" t="s">
        <v>59</v>
      </c>
      <c r="V652" s="7" t="s">
        <v>60</v>
      </c>
      <c r="W652" s="7" t="s">
        <v>61</v>
      </c>
      <c r="X652" s="5" t="str">
        <f ca="1">IF(INDIRECT("W652")="Clássico","13%",IF(INDIRECT("W652")="Premium","17%","-"))</f>
        <v>13%</v>
      </c>
      <c r="Y652" s="7" t="s">
        <v>62</v>
      </c>
    </row>
    <row r="653" spans="1:25" ht="50" customHeight="1" x14ac:dyDescent="0.25">
      <c r="A653" s="5" t="s">
        <v>3004</v>
      </c>
      <c r="B653" s="5" t="s">
        <v>3023</v>
      </c>
      <c r="C653" s="5" t="s">
        <v>3006</v>
      </c>
      <c r="D653" s="5"/>
      <c r="E653" s="6" t="s">
        <v>3007</v>
      </c>
      <c r="F653" s="5" t="s">
        <v>3024</v>
      </c>
      <c r="G653" s="5" t="s">
        <v>78</v>
      </c>
      <c r="H653" s="7">
        <v>10</v>
      </c>
      <c r="I653" s="7">
        <v>20.49</v>
      </c>
      <c r="J653" s="7" t="s">
        <v>58</v>
      </c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5" t="s">
        <v>59</v>
      </c>
      <c r="V653" s="7" t="s">
        <v>60</v>
      </c>
      <c r="W653" s="7" t="s">
        <v>61</v>
      </c>
      <c r="X653" s="5" t="str">
        <f ca="1">IF(INDIRECT("W653")="Clássico","13%",IF(INDIRECT("W653")="Premium","17%","-"))</f>
        <v>13%</v>
      </c>
      <c r="Y653" s="7" t="s">
        <v>62</v>
      </c>
    </row>
    <row r="654" spans="1:25" ht="50" customHeight="1" x14ac:dyDescent="0.25">
      <c r="A654" s="5" t="s">
        <v>680</v>
      </c>
      <c r="B654" s="5" t="s">
        <v>3025</v>
      </c>
      <c r="C654" s="5" t="s">
        <v>682</v>
      </c>
      <c r="D654" s="5"/>
      <c r="E654" s="6" t="s">
        <v>683</v>
      </c>
      <c r="F654" s="5" t="s">
        <v>1768</v>
      </c>
      <c r="G654" s="5" t="s">
        <v>78</v>
      </c>
      <c r="H654" s="7">
        <v>12</v>
      </c>
      <c r="I654" s="7">
        <v>25.66</v>
      </c>
      <c r="J654" s="7" t="s">
        <v>58</v>
      </c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5" t="s">
        <v>59</v>
      </c>
      <c r="V654" s="7" t="s">
        <v>101</v>
      </c>
      <c r="W654" s="7" t="s">
        <v>61</v>
      </c>
      <c r="X654" s="5" t="str">
        <f ca="1">IF(INDIRECT("W654")="Clássico","13%",IF(INDIRECT("W654")="Premium","17%","-"))</f>
        <v>13%</v>
      </c>
      <c r="Y654" s="7" t="s">
        <v>62</v>
      </c>
    </row>
    <row r="655" spans="1:25" ht="50" customHeight="1" x14ac:dyDescent="0.25">
      <c r="A655" s="5" t="s">
        <v>2375</v>
      </c>
      <c r="B655" s="5" t="s">
        <v>3026</v>
      </c>
      <c r="C655" s="5" t="s">
        <v>2377</v>
      </c>
      <c r="D655" s="5"/>
      <c r="E655" s="6" t="s">
        <v>2378</v>
      </c>
      <c r="F655" s="5" t="s">
        <v>3027</v>
      </c>
      <c r="G655" s="5" t="s">
        <v>78</v>
      </c>
      <c r="H655" s="7">
        <v>10</v>
      </c>
      <c r="I655" s="5" t="s">
        <v>2</v>
      </c>
      <c r="J655" s="7" t="s">
        <v>58</v>
      </c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5" t="s">
        <v>59</v>
      </c>
      <c r="V655" s="7" t="s">
        <v>60</v>
      </c>
      <c r="W655" s="7" t="s">
        <v>61</v>
      </c>
      <c r="X655" s="5" t="str">
        <f ca="1">IF(INDIRECT("W655")="Clássico","12%",IF(INDIRECT("W655")="Premium","17%","-"))</f>
        <v>12%</v>
      </c>
      <c r="Y655" s="7" t="s">
        <v>62</v>
      </c>
    </row>
    <row r="656" spans="1:25" ht="50" customHeight="1" x14ac:dyDescent="0.25">
      <c r="A656" s="5" t="s">
        <v>151</v>
      </c>
      <c r="B656" s="5" t="s">
        <v>3028</v>
      </c>
      <c r="C656" s="5" t="s">
        <v>153</v>
      </c>
      <c r="D656" s="5"/>
      <c r="E656" s="6" t="s">
        <v>154</v>
      </c>
      <c r="F656" s="5" t="s">
        <v>3029</v>
      </c>
      <c r="G656" s="5" t="s">
        <v>78</v>
      </c>
      <c r="H656" s="7">
        <v>9</v>
      </c>
      <c r="I656" s="7">
        <v>14.49</v>
      </c>
      <c r="J656" s="7" t="s">
        <v>58</v>
      </c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5" t="s">
        <v>59</v>
      </c>
      <c r="V656" s="7" t="s">
        <v>60</v>
      </c>
      <c r="W656" s="7" t="s">
        <v>61</v>
      </c>
      <c r="X656" s="5" t="str">
        <f ca="1">IF(INDIRECT("W656")="Clássico","13%",IF(INDIRECT("W656")="Premium","17%","-"))</f>
        <v>13%</v>
      </c>
      <c r="Y656" s="7" t="s">
        <v>62</v>
      </c>
    </row>
    <row r="657" spans="1:25" ht="50" customHeight="1" x14ac:dyDescent="0.25">
      <c r="A657" s="5" t="s">
        <v>1631</v>
      </c>
      <c r="B657" s="5" t="s">
        <v>3030</v>
      </c>
      <c r="C657" s="5" t="s">
        <v>1633</v>
      </c>
      <c r="D657" s="5"/>
      <c r="E657" s="6" t="s">
        <v>1634</v>
      </c>
      <c r="F657" s="5" t="s">
        <v>3031</v>
      </c>
      <c r="G657" s="5" t="s">
        <v>78</v>
      </c>
      <c r="H657" s="7">
        <v>35</v>
      </c>
      <c r="I657" s="7">
        <v>33.49</v>
      </c>
      <c r="J657" s="7" t="s">
        <v>58</v>
      </c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5" t="s">
        <v>59</v>
      </c>
      <c r="V657" s="7" t="s">
        <v>60</v>
      </c>
      <c r="W657" s="7" t="s">
        <v>61</v>
      </c>
      <c r="X657" s="5" t="str">
        <f ca="1">IF(INDIRECT("W657")="Clássico","13%",IF(INDIRECT("W657")="Premium","17%","-"))</f>
        <v>13%</v>
      </c>
      <c r="Y657" s="7" t="s">
        <v>62</v>
      </c>
    </row>
    <row r="658" spans="1:25" ht="50" customHeight="1" x14ac:dyDescent="0.25">
      <c r="A658" s="5" t="s">
        <v>172</v>
      </c>
      <c r="B658" s="5" t="s">
        <v>3032</v>
      </c>
      <c r="C658" s="5" t="s">
        <v>174</v>
      </c>
      <c r="D658" s="5"/>
      <c r="E658" s="6" t="s">
        <v>175</v>
      </c>
      <c r="F658" s="5" t="s">
        <v>3033</v>
      </c>
      <c r="G658" s="5" t="s">
        <v>78</v>
      </c>
      <c r="H658" s="7">
        <v>11</v>
      </c>
      <c r="I658" s="7">
        <v>28.49</v>
      </c>
      <c r="J658" s="7" t="s">
        <v>58</v>
      </c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5" t="s">
        <v>59</v>
      </c>
      <c r="V658" s="7" t="s">
        <v>60</v>
      </c>
      <c r="W658" s="7" t="s">
        <v>61</v>
      </c>
      <c r="X658" s="5" t="str">
        <f ca="1">IF(INDIRECT("W658")="Clássico","13%",IF(INDIRECT("W658")="Premium","17%","-"))</f>
        <v>13%</v>
      </c>
      <c r="Y658" s="7" t="s">
        <v>62</v>
      </c>
    </row>
    <row r="659" spans="1:25" ht="50" customHeight="1" x14ac:dyDescent="0.25">
      <c r="A659" s="5" t="s">
        <v>520</v>
      </c>
      <c r="B659" s="5" t="s">
        <v>3034</v>
      </c>
      <c r="C659" s="5" t="s">
        <v>522</v>
      </c>
      <c r="D659" s="5"/>
      <c r="E659" s="6" t="s">
        <v>523</v>
      </c>
      <c r="F659" s="5" t="s">
        <v>3035</v>
      </c>
      <c r="G659" s="5" t="s">
        <v>78</v>
      </c>
      <c r="H659" s="7">
        <v>950</v>
      </c>
      <c r="I659" s="7">
        <v>37.49</v>
      </c>
      <c r="J659" s="7" t="s">
        <v>58</v>
      </c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5" t="s">
        <v>59</v>
      </c>
      <c r="V659" s="7" t="s">
        <v>60</v>
      </c>
      <c r="W659" s="7" t="s">
        <v>61</v>
      </c>
      <c r="X659" s="5" t="str">
        <f ca="1">IF(INDIRECT("W659")="Clássico","14%",IF(INDIRECT("W659")="Premium","19%","-"))</f>
        <v>14%</v>
      </c>
      <c r="Y659" s="7" t="s">
        <v>62</v>
      </c>
    </row>
    <row r="660" spans="1:25" ht="50" customHeight="1" x14ac:dyDescent="0.25">
      <c r="A660" s="5" t="s">
        <v>1890</v>
      </c>
      <c r="B660" s="5" t="s">
        <v>3036</v>
      </c>
      <c r="C660" s="5" t="s">
        <v>1892</v>
      </c>
      <c r="D660" s="5"/>
      <c r="E660" s="6" t="s">
        <v>1893</v>
      </c>
      <c r="F660" s="5" t="s">
        <v>3037</v>
      </c>
      <c r="G660" s="5" t="s">
        <v>78</v>
      </c>
      <c r="H660" s="7">
        <v>60</v>
      </c>
      <c r="I660" s="7">
        <v>24.66</v>
      </c>
      <c r="J660" s="7" t="s">
        <v>58</v>
      </c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5" t="s">
        <v>59</v>
      </c>
      <c r="V660" s="7" t="s">
        <v>60</v>
      </c>
      <c r="W660" s="7" t="s">
        <v>61</v>
      </c>
      <c r="X660" s="5" t="str">
        <f ca="1">IF(INDIRECT("W660")="Clássico","13%",IF(INDIRECT("W660")="Premium","17%","-"))</f>
        <v>13%</v>
      </c>
      <c r="Y660" s="7" t="s">
        <v>62</v>
      </c>
    </row>
    <row r="661" spans="1:25" ht="50" customHeight="1" x14ac:dyDescent="0.25">
      <c r="A661" s="5" t="s">
        <v>2150</v>
      </c>
      <c r="B661" s="5" t="s">
        <v>3038</v>
      </c>
      <c r="C661" s="5" t="s">
        <v>2152</v>
      </c>
      <c r="D661" s="5"/>
      <c r="E661" s="6" t="s">
        <v>2153</v>
      </c>
      <c r="F661" s="5" t="s">
        <v>3039</v>
      </c>
      <c r="G661" s="5" t="s">
        <v>78</v>
      </c>
      <c r="H661" s="7">
        <v>11</v>
      </c>
      <c r="I661" s="7">
        <v>26.49</v>
      </c>
      <c r="J661" s="7" t="s">
        <v>58</v>
      </c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5" t="s">
        <v>59</v>
      </c>
      <c r="V661" s="7" t="s">
        <v>60</v>
      </c>
      <c r="W661" s="7" t="s">
        <v>61</v>
      </c>
      <c r="X661" s="5" t="str">
        <f ca="1">IF(INDIRECT("W661")="Clássico","13%",IF(INDIRECT("W661")="Premium","17%","-"))</f>
        <v>13%</v>
      </c>
      <c r="Y661" s="7" t="s">
        <v>62</v>
      </c>
    </row>
    <row r="662" spans="1:25" ht="50" customHeight="1" x14ac:dyDescent="0.25">
      <c r="A662" s="5" t="s">
        <v>1410</v>
      </c>
      <c r="B662" s="5" t="s">
        <v>3040</v>
      </c>
      <c r="C662" s="5" t="s">
        <v>2916</v>
      </c>
      <c r="D662" s="5"/>
      <c r="E662" s="6" t="s">
        <v>1413</v>
      </c>
      <c r="F662" s="5" t="s">
        <v>3041</v>
      </c>
      <c r="G662" s="5" t="s">
        <v>78</v>
      </c>
      <c r="H662" s="7">
        <v>12</v>
      </c>
      <c r="I662" s="7">
        <v>26.49</v>
      </c>
      <c r="J662" s="7" t="s">
        <v>58</v>
      </c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5" t="s">
        <v>59</v>
      </c>
      <c r="V662" s="7" t="s">
        <v>101</v>
      </c>
      <c r="W662" s="7" t="s">
        <v>61</v>
      </c>
      <c r="X662" s="5" t="str">
        <f ca="1">IF(INDIRECT("W662")="Clássico","13%",IF(INDIRECT("W662")="Premium","17%","-"))</f>
        <v>13%</v>
      </c>
      <c r="Y662" s="7" t="s">
        <v>62</v>
      </c>
    </row>
    <row r="663" spans="1:25" ht="50" customHeight="1" x14ac:dyDescent="0.25">
      <c r="A663" s="5" t="s">
        <v>2160</v>
      </c>
      <c r="B663" s="5" t="s">
        <v>3042</v>
      </c>
      <c r="C663" s="5" t="s">
        <v>2162</v>
      </c>
      <c r="D663" s="5"/>
      <c r="E663" s="6" t="s">
        <v>2163</v>
      </c>
      <c r="F663" s="5" t="s">
        <v>3043</v>
      </c>
      <c r="G663" s="5" t="s">
        <v>78</v>
      </c>
      <c r="H663" s="7">
        <v>5</v>
      </c>
      <c r="I663" s="7">
        <v>20.49</v>
      </c>
      <c r="J663" s="7" t="s">
        <v>58</v>
      </c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5" t="s">
        <v>59</v>
      </c>
      <c r="V663" s="7" t="s">
        <v>60</v>
      </c>
      <c r="W663" s="7" t="s">
        <v>61</v>
      </c>
      <c r="X663" s="5" t="str">
        <f ca="1">IF(INDIRECT("W663")="Clássico","13%",IF(INDIRECT("W663")="Premium","17%","-"))</f>
        <v>13%</v>
      </c>
      <c r="Y663" s="7" t="s">
        <v>62</v>
      </c>
    </row>
    <row r="664" spans="1:25" ht="50" customHeight="1" x14ac:dyDescent="0.25">
      <c r="A664" s="5" t="s">
        <v>3044</v>
      </c>
      <c r="B664" s="5" t="s">
        <v>3045</v>
      </c>
      <c r="C664" s="5" t="s">
        <v>3046</v>
      </c>
      <c r="D664" s="5"/>
      <c r="E664" s="6" t="s">
        <v>3047</v>
      </c>
      <c r="F664" s="6" t="s">
        <v>3048</v>
      </c>
      <c r="G664" s="5" t="s">
        <v>3048</v>
      </c>
      <c r="H664" s="7">
        <v>3</v>
      </c>
      <c r="I664" s="7">
        <v>178.1</v>
      </c>
      <c r="J664" s="7" t="s">
        <v>58</v>
      </c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 t="s">
        <v>59</v>
      </c>
      <c r="V664" s="7" t="s">
        <v>129</v>
      </c>
      <c r="W664" s="7" t="s">
        <v>84</v>
      </c>
      <c r="X664" s="5" t="str">
        <f ca="1">IF(INDIRECT("W664")="Clássico","13%",IF(INDIRECT("W664")="Premium","15%","-"))</f>
        <v>15%</v>
      </c>
      <c r="Y664" s="7" t="s">
        <v>62</v>
      </c>
    </row>
    <row r="665" spans="1:25" ht="50" customHeight="1" x14ac:dyDescent="0.25">
      <c r="A665" s="5" t="s">
        <v>2115</v>
      </c>
      <c r="B665" s="5" t="s">
        <v>3049</v>
      </c>
      <c r="C665" s="5" t="s">
        <v>2117</v>
      </c>
      <c r="D665" s="5"/>
      <c r="E665" s="6" t="s">
        <v>2118</v>
      </c>
      <c r="F665" s="5" t="s">
        <v>3050</v>
      </c>
      <c r="G665" s="5" t="s">
        <v>78</v>
      </c>
      <c r="H665" s="7">
        <v>12</v>
      </c>
      <c r="I665" s="7">
        <v>30.49</v>
      </c>
      <c r="J665" s="7" t="s">
        <v>58</v>
      </c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5" t="s">
        <v>59</v>
      </c>
      <c r="V665" s="7" t="s">
        <v>60</v>
      </c>
      <c r="W665" s="7" t="s">
        <v>61</v>
      </c>
      <c r="X665" s="5" t="str">
        <f ca="1">IF(INDIRECT("W665")="Clássico","13%",IF(INDIRECT("W665")="Premium","17%","-"))</f>
        <v>13%</v>
      </c>
      <c r="Y665" s="7" t="s">
        <v>62</v>
      </c>
    </row>
    <row r="666" spans="1:25" ht="50" customHeight="1" x14ac:dyDescent="0.25">
      <c r="A666" s="5" t="s">
        <v>449</v>
      </c>
      <c r="B666" s="5" t="s">
        <v>3051</v>
      </c>
      <c r="C666" s="5" t="s">
        <v>451</v>
      </c>
      <c r="D666" s="5"/>
      <c r="E666" s="6" t="s">
        <v>452</v>
      </c>
      <c r="F666" s="5" t="s">
        <v>3052</v>
      </c>
      <c r="G666" s="5" t="s">
        <v>78</v>
      </c>
      <c r="H666" s="7">
        <v>6</v>
      </c>
      <c r="I666" s="7">
        <v>93.49</v>
      </c>
      <c r="J666" s="7" t="s">
        <v>58</v>
      </c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5" t="s">
        <v>59</v>
      </c>
      <c r="V666" s="7" t="s">
        <v>129</v>
      </c>
      <c r="W666" s="7" t="s">
        <v>61</v>
      </c>
      <c r="X666" s="5" t="str">
        <f ca="1">IF(INDIRECT("W666")="Clássico","14%",IF(INDIRECT("W666")="Premium","19%","-"))</f>
        <v>14%</v>
      </c>
      <c r="Y666" s="7" t="s">
        <v>62</v>
      </c>
    </row>
    <row r="667" spans="1:25" ht="50" customHeight="1" x14ac:dyDescent="0.25">
      <c r="A667" s="5" t="s">
        <v>2325</v>
      </c>
      <c r="B667" s="5" t="s">
        <v>3053</v>
      </c>
      <c r="C667" s="5" t="s">
        <v>2327</v>
      </c>
      <c r="D667" s="5"/>
      <c r="E667" s="6" t="s">
        <v>2328</v>
      </c>
      <c r="F667" s="5" t="s">
        <v>3054</v>
      </c>
      <c r="G667" s="5" t="s">
        <v>78</v>
      </c>
      <c r="H667" s="7">
        <v>6</v>
      </c>
      <c r="I667" s="7">
        <v>47.49</v>
      </c>
      <c r="J667" s="7" t="s">
        <v>58</v>
      </c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5" t="s">
        <v>59</v>
      </c>
      <c r="V667" s="7" t="s">
        <v>60</v>
      </c>
      <c r="W667" s="7" t="s">
        <v>61</v>
      </c>
      <c r="X667" s="5" t="str">
        <f ca="1">IF(INDIRECT("W667")="Clássico","13%",IF(INDIRECT("W667")="Premium","17%","-"))</f>
        <v>13%</v>
      </c>
      <c r="Y667" s="7" t="s">
        <v>62</v>
      </c>
    </row>
    <row r="668" spans="1:25" ht="50" customHeight="1" x14ac:dyDescent="0.25">
      <c r="A668" s="5" t="s">
        <v>146</v>
      </c>
      <c r="B668" s="5" t="s">
        <v>3055</v>
      </c>
      <c r="C668" s="5" t="s">
        <v>148</v>
      </c>
      <c r="D668" s="5"/>
      <c r="E668" s="6" t="s">
        <v>149</v>
      </c>
      <c r="F668" s="5" t="s">
        <v>3056</v>
      </c>
      <c r="G668" s="5" t="s">
        <v>78</v>
      </c>
      <c r="H668" s="7">
        <v>11</v>
      </c>
      <c r="I668" s="7">
        <v>30.49</v>
      </c>
      <c r="J668" s="7" t="s">
        <v>58</v>
      </c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5" t="s">
        <v>59</v>
      </c>
      <c r="V668" s="7" t="s">
        <v>101</v>
      </c>
      <c r="W668" s="7" t="s">
        <v>61</v>
      </c>
      <c r="X668" s="5" t="str">
        <f ca="1">IF(INDIRECT("W668")="Clássico","13%",IF(INDIRECT("W668")="Premium","17%","-"))</f>
        <v>13%</v>
      </c>
      <c r="Y668" s="7" t="s">
        <v>62</v>
      </c>
    </row>
    <row r="669" spans="1:25" ht="50" customHeight="1" x14ac:dyDescent="0.25">
      <c r="A669" s="5" t="s">
        <v>233</v>
      </c>
      <c r="B669" s="5" t="s">
        <v>3057</v>
      </c>
      <c r="C669" s="5" t="s">
        <v>235</v>
      </c>
      <c r="D669" s="5"/>
      <c r="E669" s="6" t="s">
        <v>236</v>
      </c>
      <c r="F669" s="5" t="s">
        <v>3058</v>
      </c>
      <c r="G669" s="5" t="s">
        <v>78</v>
      </c>
      <c r="H669" s="7">
        <v>9</v>
      </c>
      <c r="I669" s="7">
        <v>16.41</v>
      </c>
      <c r="J669" s="7" t="s">
        <v>58</v>
      </c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5" t="s">
        <v>59</v>
      </c>
      <c r="V669" s="7" t="s">
        <v>60</v>
      </c>
      <c r="W669" s="7" t="s">
        <v>61</v>
      </c>
      <c r="X669" s="5" t="str">
        <f ca="1">IF(INDIRECT("W669")="Clássico","14%",IF(INDIRECT("W669")="Premium","19%","-"))</f>
        <v>14%</v>
      </c>
      <c r="Y669" s="7" t="s">
        <v>62</v>
      </c>
    </row>
    <row r="670" spans="1:25" ht="50" customHeight="1" x14ac:dyDescent="0.25">
      <c r="A670" s="5" t="s">
        <v>248</v>
      </c>
      <c r="B670" s="5" t="s">
        <v>3059</v>
      </c>
      <c r="C670" s="5" t="s">
        <v>250</v>
      </c>
      <c r="D670" s="5"/>
      <c r="E670" s="6" t="s">
        <v>251</v>
      </c>
      <c r="F670" s="5" t="s">
        <v>3060</v>
      </c>
      <c r="G670" s="5" t="s">
        <v>78</v>
      </c>
      <c r="H670" s="7">
        <v>9</v>
      </c>
      <c r="I670" s="7">
        <v>30.49</v>
      </c>
      <c r="J670" s="7" t="s">
        <v>58</v>
      </c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5" t="s">
        <v>59</v>
      </c>
      <c r="V670" s="7" t="s">
        <v>60</v>
      </c>
      <c r="W670" s="7" t="s">
        <v>61</v>
      </c>
      <c r="X670" s="5" t="str">
        <f ca="1">IF(INDIRECT("W670")="Clássico","12%",IF(INDIRECT("W670")="Premium","17%","-"))</f>
        <v>12%</v>
      </c>
      <c r="Y670" s="7" t="s">
        <v>62</v>
      </c>
    </row>
    <row r="671" spans="1:25" ht="50" customHeight="1" x14ac:dyDescent="0.25">
      <c r="A671" s="5" t="s">
        <v>469</v>
      </c>
      <c r="B671" s="5" t="s">
        <v>3061</v>
      </c>
      <c r="C671" s="5" t="s">
        <v>471</v>
      </c>
      <c r="D671" s="5"/>
      <c r="E671" s="6" t="s">
        <v>472</v>
      </c>
      <c r="F671" s="5" t="s">
        <v>1783</v>
      </c>
      <c r="G671" s="5" t="s">
        <v>78</v>
      </c>
      <c r="H671" s="7">
        <v>23</v>
      </c>
      <c r="I671" s="7">
        <v>22.49</v>
      </c>
      <c r="J671" s="7" t="s">
        <v>58</v>
      </c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5" t="s">
        <v>59</v>
      </c>
      <c r="V671" s="7" t="s">
        <v>60</v>
      </c>
      <c r="W671" s="7" t="s">
        <v>61</v>
      </c>
      <c r="X671" s="5" t="str">
        <f ca="1">IF(INDIRECT("W671")="Clássico","13%",IF(INDIRECT("W671")="Premium","17%","-"))</f>
        <v>13%</v>
      </c>
      <c r="Y671" s="7" t="s">
        <v>62</v>
      </c>
    </row>
    <row r="672" spans="1:25" ht="50" customHeight="1" x14ac:dyDescent="0.25">
      <c r="A672" s="5" t="s">
        <v>3062</v>
      </c>
      <c r="B672" s="5" t="s">
        <v>3063</v>
      </c>
      <c r="C672" s="5" t="s">
        <v>3064</v>
      </c>
      <c r="D672" s="5"/>
      <c r="E672" s="6" t="s">
        <v>3065</v>
      </c>
      <c r="F672" s="6" t="s">
        <v>3066</v>
      </c>
      <c r="G672" s="5" t="s">
        <v>3066</v>
      </c>
      <c r="H672" s="7">
        <v>35</v>
      </c>
      <c r="I672" s="7">
        <v>20.94</v>
      </c>
      <c r="J672" s="7" t="s">
        <v>58</v>
      </c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 t="s">
        <v>59</v>
      </c>
      <c r="V672" s="7" t="s">
        <v>101</v>
      </c>
      <c r="W672" s="7" t="s">
        <v>61</v>
      </c>
      <c r="X672" s="5" t="str">
        <f ca="1">IF(INDIRECT("W672")="Clássico","13%",IF(INDIRECT("W672")="Premium","17%","-"))</f>
        <v>13%</v>
      </c>
      <c r="Y672" s="7" t="s">
        <v>62</v>
      </c>
    </row>
    <row r="673" spans="1:25" ht="50" customHeight="1" x14ac:dyDescent="0.25">
      <c r="A673" s="5" t="s">
        <v>3067</v>
      </c>
      <c r="B673" s="5" t="s">
        <v>3068</v>
      </c>
      <c r="C673" s="5" t="s">
        <v>3069</v>
      </c>
      <c r="D673" s="5"/>
      <c r="E673" s="6" t="s">
        <v>556</v>
      </c>
      <c r="F673" s="6" t="s">
        <v>3070</v>
      </c>
      <c r="G673" s="5" t="s">
        <v>3070</v>
      </c>
      <c r="H673" s="7">
        <v>20</v>
      </c>
      <c r="I673" s="7">
        <v>20</v>
      </c>
      <c r="J673" s="7" t="s">
        <v>58</v>
      </c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 t="s">
        <v>59</v>
      </c>
      <c r="V673" s="7" t="s">
        <v>60</v>
      </c>
      <c r="W673" s="7" t="s">
        <v>61</v>
      </c>
      <c r="X673" s="5" t="str">
        <f ca="1">IF(INDIRECT("W673")="Clássico","13%",IF(INDIRECT("W673")="Premium","17%","-"))</f>
        <v>13%</v>
      </c>
      <c r="Y673" s="7" t="s">
        <v>62</v>
      </c>
    </row>
    <row r="674" spans="1:25" ht="50" customHeight="1" x14ac:dyDescent="0.25">
      <c r="A674" s="5" t="s">
        <v>3071</v>
      </c>
      <c r="B674" s="5" t="s">
        <v>3072</v>
      </c>
      <c r="C674" s="5" t="s">
        <v>3073</v>
      </c>
      <c r="D674" s="5"/>
      <c r="E674" s="6" t="s">
        <v>3074</v>
      </c>
      <c r="F674" s="6" t="s">
        <v>3075</v>
      </c>
      <c r="G674" s="5" t="s">
        <v>3075</v>
      </c>
      <c r="H674" s="7">
        <v>12</v>
      </c>
      <c r="I674" s="7">
        <v>25.63</v>
      </c>
      <c r="J674" s="7" t="s">
        <v>58</v>
      </c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 t="s">
        <v>59</v>
      </c>
      <c r="V674" s="7" t="s">
        <v>60</v>
      </c>
      <c r="W674" s="7" t="s">
        <v>84</v>
      </c>
      <c r="X674" s="5" t="str">
        <f ca="1">IF(INDIRECT("W674")="Clássico","13%",IF(INDIRECT("W674")="Premium","17%","-"))</f>
        <v>17%</v>
      </c>
      <c r="Y674" s="7" t="s">
        <v>62</v>
      </c>
    </row>
    <row r="675" spans="1:25" ht="50" customHeight="1" x14ac:dyDescent="0.25">
      <c r="A675" s="5" t="s">
        <v>2948</v>
      </c>
      <c r="B675" s="5" t="s">
        <v>3076</v>
      </c>
      <c r="C675" s="5" t="s">
        <v>2950</v>
      </c>
      <c r="D675" s="5"/>
      <c r="E675" s="6" t="s">
        <v>2951</v>
      </c>
      <c r="F675" s="6" t="s">
        <v>2952</v>
      </c>
      <c r="G675" s="5" t="s">
        <v>2952</v>
      </c>
      <c r="H675" s="7">
        <v>12</v>
      </c>
      <c r="I675" s="7">
        <v>19.989999999999998</v>
      </c>
      <c r="J675" s="7" t="s">
        <v>58</v>
      </c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 t="s">
        <v>59</v>
      </c>
      <c r="V675" s="7" t="s">
        <v>60</v>
      </c>
      <c r="W675" s="7" t="s">
        <v>84</v>
      </c>
      <c r="X675" s="5" t="str">
        <f ca="1">IF(INDIRECT("W675")="Clássico","13%",IF(INDIRECT("W675")="Premium","17%","-"))</f>
        <v>17%</v>
      </c>
      <c r="Y675" s="7" t="s">
        <v>62</v>
      </c>
    </row>
    <row r="676" spans="1:25" ht="50" customHeight="1" x14ac:dyDescent="0.25">
      <c r="A676" s="5" t="s">
        <v>2918</v>
      </c>
      <c r="B676" s="5" t="s">
        <v>3077</v>
      </c>
      <c r="C676" s="5" t="s">
        <v>3078</v>
      </c>
      <c r="D676" s="5"/>
      <c r="E676" s="6" t="s">
        <v>2921</v>
      </c>
      <c r="F676" s="6" t="s">
        <v>3079</v>
      </c>
      <c r="G676" s="5" t="s">
        <v>3079</v>
      </c>
      <c r="H676" s="7">
        <v>10</v>
      </c>
      <c r="I676" s="7">
        <v>23.9</v>
      </c>
      <c r="J676" s="7" t="s">
        <v>58</v>
      </c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 t="s">
        <v>59</v>
      </c>
      <c r="V676" s="7" t="s">
        <v>101</v>
      </c>
      <c r="W676" s="7" t="s">
        <v>84</v>
      </c>
      <c r="X676" s="5" t="str">
        <f ca="1">IF(INDIRECT("W676")="Clássico","13%",IF(INDIRECT("W676")="Premium","17%","-"))</f>
        <v>17%</v>
      </c>
      <c r="Y676" s="7" t="s">
        <v>62</v>
      </c>
    </row>
    <row r="677" spans="1:25" ht="50" customHeight="1" x14ac:dyDescent="0.25">
      <c r="A677" s="5" t="s">
        <v>3080</v>
      </c>
      <c r="B677" s="5" t="s">
        <v>3081</v>
      </c>
      <c r="C677" s="5" t="s">
        <v>3082</v>
      </c>
      <c r="D677" s="5"/>
      <c r="E677" s="6" t="s">
        <v>3083</v>
      </c>
      <c r="F677" s="6" t="s">
        <v>3084</v>
      </c>
      <c r="G677" s="5" t="s">
        <v>3084</v>
      </c>
      <c r="H677" s="7">
        <v>10</v>
      </c>
      <c r="I677" s="7">
        <v>20.94</v>
      </c>
      <c r="J677" s="7" t="s">
        <v>58</v>
      </c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 t="s">
        <v>59</v>
      </c>
      <c r="V677" s="7" t="s">
        <v>101</v>
      </c>
      <c r="W677" s="7" t="s">
        <v>61</v>
      </c>
      <c r="X677" s="5" t="str">
        <f ca="1">IF(INDIRECT("W677")="Clássico","13%",IF(INDIRECT("W677")="Premium","17%","-"))</f>
        <v>13%</v>
      </c>
      <c r="Y677" s="7" t="s">
        <v>62</v>
      </c>
    </row>
    <row r="678" spans="1:25" ht="50" customHeight="1" x14ac:dyDescent="0.25">
      <c r="A678" s="5" t="s">
        <v>3085</v>
      </c>
      <c r="B678" s="5" t="s">
        <v>3086</v>
      </c>
      <c r="C678" s="5" t="s">
        <v>3087</v>
      </c>
      <c r="D678" s="5"/>
      <c r="E678" s="6" t="s">
        <v>3088</v>
      </c>
      <c r="F678" s="6" t="s">
        <v>3089</v>
      </c>
      <c r="G678" s="5" t="s">
        <v>3089</v>
      </c>
      <c r="H678" s="7">
        <v>10</v>
      </c>
      <c r="I678" s="7">
        <v>20.94</v>
      </c>
      <c r="J678" s="7" t="s">
        <v>58</v>
      </c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 t="s">
        <v>59</v>
      </c>
      <c r="V678" s="7" t="s">
        <v>101</v>
      </c>
      <c r="W678" s="7" t="s">
        <v>84</v>
      </c>
      <c r="X678" s="5" t="str">
        <f ca="1">IF(INDIRECT("W678")="Clássico","13%",IF(INDIRECT("W678")="Premium","17%","-"))</f>
        <v>17%</v>
      </c>
      <c r="Y678" s="7" t="s">
        <v>62</v>
      </c>
    </row>
    <row r="679" spans="1:25" ht="50" customHeight="1" x14ac:dyDescent="0.25">
      <c r="A679" s="5" t="s">
        <v>1005</v>
      </c>
      <c r="B679" s="5" t="s">
        <v>3090</v>
      </c>
      <c r="C679" s="5" t="s">
        <v>3091</v>
      </c>
      <c r="D679" s="5"/>
      <c r="E679" s="6" t="s">
        <v>1008</v>
      </c>
      <c r="F679" s="6" t="s">
        <v>3092</v>
      </c>
      <c r="G679" s="5" t="s">
        <v>3092</v>
      </c>
      <c r="H679" s="7">
        <v>23</v>
      </c>
      <c r="I679" s="7">
        <v>20.94</v>
      </c>
      <c r="J679" s="7" t="s">
        <v>58</v>
      </c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 t="s">
        <v>59</v>
      </c>
      <c r="V679" s="7" t="s">
        <v>101</v>
      </c>
      <c r="W679" s="7" t="s">
        <v>61</v>
      </c>
      <c r="X679" s="5" t="str">
        <f ca="1">IF(INDIRECT("W679")="Clássico","13%",IF(INDIRECT("W679")="Premium","17%","-"))</f>
        <v>13%</v>
      </c>
      <c r="Y679" s="7" t="s">
        <v>62</v>
      </c>
    </row>
    <row r="680" spans="1:25" ht="50" customHeight="1" x14ac:dyDescent="0.25">
      <c r="A680" s="5" t="s">
        <v>1026</v>
      </c>
      <c r="B680" s="5" t="s">
        <v>3093</v>
      </c>
      <c r="C680" s="5" t="s">
        <v>3094</v>
      </c>
      <c r="D680" s="5"/>
      <c r="E680" s="6" t="s">
        <v>1029</v>
      </c>
      <c r="F680" s="6" t="s">
        <v>3095</v>
      </c>
      <c r="G680" s="5" t="s">
        <v>3095</v>
      </c>
      <c r="H680" s="7">
        <v>11</v>
      </c>
      <c r="I680" s="7">
        <v>20.94</v>
      </c>
      <c r="J680" s="7" t="s">
        <v>58</v>
      </c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 t="s">
        <v>59</v>
      </c>
      <c r="V680" s="7" t="s">
        <v>101</v>
      </c>
      <c r="W680" s="7" t="s">
        <v>84</v>
      </c>
      <c r="X680" s="5" t="str">
        <f ca="1">IF(INDIRECT("W680")="Clássico","13%",IF(INDIRECT("W680")="Premium","17%","-"))</f>
        <v>17%</v>
      </c>
      <c r="Y680" s="7" t="s">
        <v>62</v>
      </c>
    </row>
    <row r="681" spans="1:25" ht="50" customHeight="1" x14ac:dyDescent="0.25">
      <c r="A681" s="5" t="s">
        <v>659</v>
      </c>
      <c r="B681" s="5" t="s">
        <v>3096</v>
      </c>
      <c r="C681" s="5" t="s">
        <v>3097</v>
      </c>
      <c r="D681" s="5"/>
      <c r="E681" s="6" t="s">
        <v>662</v>
      </c>
      <c r="F681" s="6" t="s">
        <v>3098</v>
      </c>
      <c r="G681" s="5" t="s">
        <v>3098</v>
      </c>
      <c r="H681" s="7">
        <v>11</v>
      </c>
      <c r="I681" s="7">
        <v>20.94</v>
      </c>
      <c r="J681" s="7" t="s">
        <v>58</v>
      </c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 t="s">
        <v>59</v>
      </c>
      <c r="V681" s="7" t="s">
        <v>101</v>
      </c>
      <c r="W681" s="7" t="s">
        <v>61</v>
      </c>
      <c r="X681" s="5" t="str">
        <f ca="1">IF(INDIRECT("W681")="Clássico","13%",IF(INDIRECT("W681")="Premium","17%","-"))</f>
        <v>13%</v>
      </c>
      <c r="Y681" s="7" t="s">
        <v>62</v>
      </c>
    </row>
    <row r="682" spans="1:25" ht="50" customHeight="1" x14ac:dyDescent="0.25">
      <c r="A682" s="5" t="s">
        <v>3099</v>
      </c>
      <c r="B682" s="5" t="s">
        <v>3100</v>
      </c>
      <c r="C682" s="5" t="s">
        <v>3101</v>
      </c>
      <c r="D682" s="5"/>
      <c r="E682" s="6" t="s">
        <v>3102</v>
      </c>
      <c r="F682" s="6" t="s">
        <v>3103</v>
      </c>
      <c r="G682" s="5" t="s">
        <v>3103</v>
      </c>
      <c r="H682" s="7">
        <v>12</v>
      </c>
      <c r="I682" s="7">
        <v>20.94</v>
      </c>
      <c r="J682" s="7" t="s">
        <v>58</v>
      </c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 t="s">
        <v>59</v>
      </c>
      <c r="V682" s="7" t="s">
        <v>101</v>
      </c>
      <c r="W682" s="7" t="s">
        <v>61</v>
      </c>
      <c r="X682" s="5" t="str">
        <f ca="1">IF(INDIRECT("W682")="Clássico","13%",IF(INDIRECT("W682")="Premium","17%","-"))</f>
        <v>13%</v>
      </c>
      <c r="Y682" s="7" t="s">
        <v>62</v>
      </c>
    </row>
    <row r="683" spans="1:25" ht="50" customHeight="1" x14ac:dyDescent="0.25">
      <c r="A683" s="5" t="s">
        <v>3104</v>
      </c>
      <c r="B683" s="5" t="s">
        <v>3105</v>
      </c>
      <c r="C683" s="5" t="s">
        <v>3106</v>
      </c>
      <c r="D683" s="5"/>
      <c r="E683" s="6" t="s">
        <v>3107</v>
      </c>
      <c r="F683" s="6" t="s">
        <v>3108</v>
      </c>
      <c r="G683" s="5" t="s">
        <v>3108</v>
      </c>
      <c r="H683" s="7">
        <v>10</v>
      </c>
      <c r="I683" s="7">
        <v>20.94</v>
      </c>
      <c r="J683" s="7" t="s">
        <v>58</v>
      </c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 t="s">
        <v>59</v>
      </c>
      <c r="V683" s="7" t="s">
        <v>101</v>
      </c>
      <c r="W683" s="7" t="s">
        <v>61</v>
      </c>
      <c r="X683" s="5" t="str">
        <f ca="1">IF(INDIRECT("W683")="Clássico","13%",IF(INDIRECT("W683")="Premium","17%","-"))</f>
        <v>13%</v>
      </c>
      <c r="Y683" s="7" t="s">
        <v>62</v>
      </c>
    </row>
    <row r="684" spans="1:25" ht="50" customHeight="1" x14ac:dyDescent="0.25">
      <c r="A684" s="5" t="s">
        <v>3109</v>
      </c>
      <c r="B684" s="5" t="s">
        <v>3110</v>
      </c>
      <c r="C684" s="5" t="s">
        <v>3111</v>
      </c>
      <c r="D684" s="5"/>
      <c r="E684" s="6" t="s">
        <v>3112</v>
      </c>
      <c r="F684" s="6" t="s">
        <v>3113</v>
      </c>
      <c r="G684" s="5" t="s">
        <v>3113</v>
      </c>
      <c r="H684" s="7">
        <v>24</v>
      </c>
      <c r="I684" s="7">
        <v>16.239999999999998</v>
      </c>
      <c r="J684" s="7" t="s">
        <v>58</v>
      </c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 t="s">
        <v>59</v>
      </c>
      <c r="V684" s="7" t="s">
        <v>60</v>
      </c>
      <c r="W684" s="7" t="s">
        <v>61</v>
      </c>
      <c r="X684" s="5" t="str">
        <f ca="1">IF(INDIRECT("W684")="Clássico","12%",IF(INDIRECT("W684")="Premium","17%","-"))</f>
        <v>12%</v>
      </c>
      <c r="Y684" s="7" t="s">
        <v>62</v>
      </c>
    </row>
    <row r="685" spans="1:25" ht="50" customHeight="1" x14ac:dyDescent="0.25">
      <c r="A685" s="5" t="s">
        <v>975</v>
      </c>
      <c r="B685" s="5" t="s">
        <v>3114</v>
      </c>
      <c r="C685" s="5" t="s">
        <v>3115</v>
      </c>
      <c r="D685" s="5"/>
      <c r="E685" s="6" t="s">
        <v>978</v>
      </c>
      <c r="F685" s="6" t="s">
        <v>3116</v>
      </c>
      <c r="G685" s="5" t="s">
        <v>3116</v>
      </c>
      <c r="H685" s="7">
        <v>3</v>
      </c>
      <c r="I685" s="7">
        <v>143.74</v>
      </c>
      <c r="J685" s="7" t="s">
        <v>58</v>
      </c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 t="s">
        <v>59</v>
      </c>
      <c r="V685" s="7" t="s">
        <v>101</v>
      </c>
      <c r="W685" s="7" t="s">
        <v>84</v>
      </c>
      <c r="X685" s="5" t="str">
        <f ca="1">IF(INDIRECT("W685")="Clássico","13%",IF(INDIRECT("W685")="Premium","17%","-"))</f>
        <v>17%</v>
      </c>
      <c r="Y685" s="7" t="s">
        <v>62</v>
      </c>
    </row>
    <row r="686" spans="1:25" ht="50" customHeight="1" x14ac:dyDescent="0.25">
      <c r="A686" s="5" t="s">
        <v>3117</v>
      </c>
      <c r="B686" s="5" t="s">
        <v>3118</v>
      </c>
      <c r="C686" s="5" t="s">
        <v>3119</v>
      </c>
      <c r="D686" s="5"/>
      <c r="E686" s="6" t="s">
        <v>3120</v>
      </c>
      <c r="F686" s="6" t="s">
        <v>3121</v>
      </c>
      <c r="G686" s="5" t="s">
        <v>3121</v>
      </c>
      <c r="H686" s="7">
        <v>5</v>
      </c>
      <c r="I686" s="7">
        <v>19.989999999999998</v>
      </c>
      <c r="J686" s="7" t="s">
        <v>58</v>
      </c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 t="s">
        <v>59</v>
      </c>
      <c r="V686" s="7" t="s">
        <v>60</v>
      </c>
      <c r="W686" s="7" t="s">
        <v>61</v>
      </c>
      <c r="X686" s="5" t="str">
        <f ca="1">IF(INDIRECT("W686")="Clássico","13%",IF(INDIRECT("W686")="Premium","17%","-"))</f>
        <v>13%</v>
      </c>
      <c r="Y686" s="7" t="s">
        <v>62</v>
      </c>
    </row>
    <row r="687" spans="1:25" ht="50" customHeight="1" x14ac:dyDescent="0.25">
      <c r="A687" s="5" t="s">
        <v>1252</v>
      </c>
      <c r="B687" s="5" t="s">
        <v>3122</v>
      </c>
      <c r="C687" s="5" t="s">
        <v>3123</v>
      </c>
      <c r="D687" s="5"/>
      <c r="E687" s="6" t="s">
        <v>1255</v>
      </c>
      <c r="F687" s="6" t="s">
        <v>3124</v>
      </c>
      <c r="G687" s="5" t="s">
        <v>3124</v>
      </c>
      <c r="H687" s="7">
        <v>9</v>
      </c>
      <c r="I687" s="7">
        <v>20.94</v>
      </c>
      <c r="J687" s="7" t="s">
        <v>58</v>
      </c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 t="s">
        <v>59</v>
      </c>
      <c r="V687" s="7" t="s">
        <v>101</v>
      </c>
      <c r="W687" s="7" t="s">
        <v>61</v>
      </c>
      <c r="X687" s="5" t="str">
        <f ca="1">IF(INDIRECT("W687")="Clássico","13%",IF(INDIRECT("W687")="Premium","17%","-"))</f>
        <v>13%</v>
      </c>
      <c r="Y687" s="7" t="s">
        <v>62</v>
      </c>
    </row>
    <row r="688" spans="1:25" ht="50" customHeight="1" x14ac:dyDescent="0.25">
      <c r="A688" s="5" t="s">
        <v>3125</v>
      </c>
      <c r="B688" s="5" t="s">
        <v>3126</v>
      </c>
      <c r="C688" s="5" t="s">
        <v>3127</v>
      </c>
      <c r="D688" s="5"/>
      <c r="E688" s="6" t="s">
        <v>3128</v>
      </c>
      <c r="F688" s="6" t="s">
        <v>3129</v>
      </c>
      <c r="G688" s="5" t="s">
        <v>3129</v>
      </c>
      <c r="H688" s="7">
        <v>7</v>
      </c>
      <c r="I688" s="7">
        <v>32.4</v>
      </c>
      <c r="J688" s="7" t="s">
        <v>58</v>
      </c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 t="s">
        <v>59</v>
      </c>
      <c r="V688" s="7" t="s">
        <v>1526</v>
      </c>
      <c r="W688" s="7" t="s">
        <v>84</v>
      </c>
      <c r="X688" s="5" t="str">
        <f ca="1">IF(INDIRECT("W688")="Clássico","13%",IF(INDIRECT("W688")="Premium","17%","-"))</f>
        <v>17%</v>
      </c>
      <c r="Y688" s="7" t="s">
        <v>62</v>
      </c>
    </row>
    <row r="689" spans="1:25" ht="50" customHeight="1" x14ac:dyDescent="0.25">
      <c r="A689" s="5" t="s">
        <v>2693</v>
      </c>
      <c r="B689" s="5" t="s">
        <v>3130</v>
      </c>
      <c r="C689" s="5" t="s">
        <v>3131</v>
      </c>
      <c r="D689" s="5"/>
      <c r="E689" s="6" t="s">
        <v>2696</v>
      </c>
      <c r="F689" s="6" t="s">
        <v>3132</v>
      </c>
      <c r="G689" s="5" t="s">
        <v>3132</v>
      </c>
      <c r="H689" s="7">
        <v>12</v>
      </c>
      <c r="I689" s="7">
        <v>20.94</v>
      </c>
      <c r="J689" s="7" t="s">
        <v>58</v>
      </c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 t="s">
        <v>59</v>
      </c>
      <c r="V689" s="7" t="s">
        <v>101</v>
      </c>
      <c r="W689" s="7" t="s">
        <v>84</v>
      </c>
      <c r="X689" s="5" t="str">
        <f ca="1">IF(INDIRECT("W689")="Clássico","13%",IF(INDIRECT("W689")="Premium","17%","-"))</f>
        <v>17%</v>
      </c>
      <c r="Y689" s="7" t="s">
        <v>62</v>
      </c>
    </row>
    <row r="690" spans="1:25" ht="50" customHeight="1" x14ac:dyDescent="0.25">
      <c r="A690" s="5" t="s">
        <v>685</v>
      </c>
      <c r="B690" s="5" t="s">
        <v>3133</v>
      </c>
      <c r="C690" s="5" t="s">
        <v>3134</v>
      </c>
      <c r="D690" s="5"/>
      <c r="E690" s="6" t="s">
        <v>688</v>
      </c>
      <c r="F690" s="6" t="s">
        <v>3135</v>
      </c>
      <c r="G690" s="5" t="s">
        <v>3135</v>
      </c>
      <c r="H690" s="7">
        <v>11</v>
      </c>
      <c r="I690" s="7">
        <v>20.94</v>
      </c>
      <c r="J690" s="7" t="s">
        <v>58</v>
      </c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 t="s">
        <v>59</v>
      </c>
      <c r="V690" s="7" t="s">
        <v>101</v>
      </c>
      <c r="W690" s="7" t="s">
        <v>84</v>
      </c>
      <c r="X690" s="5" t="str">
        <f ca="1">IF(INDIRECT("W690")="Clássico","13%",IF(INDIRECT("W690")="Premium","17%","-"))</f>
        <v>17%</v>
      </c>
      <c r="Y690" s="7" t="s">
        <v>62</v>
      </c>
    </row>
    <row r="691" spans="1:25" ht="50" customHeight="1" x14ac:dyDescent="0.25">
      <c r="A691" s="5" t="s">
        <v>3136</v>
      </c>
      <c r="B691" s="5" t="s">
        <v>3137</v>
      </c>
      <c r="C691" s="5" t="s">
        <v>3138</v>
      </c>
      <c r="D691" s="5"/>
      <c r="E691" s="6" t="s">
        <v>3139</v>
      </c>
      <c r="F691" s="6" t="s">
        <v>3140</v>
      </c>
      <c r="G691" s="5" t="s">
        <v>3140</v>
      </c>
      <c r="H691" s="7">
        <v>11</v>
      </c>
      <c r="I691" s="7">
        <v>20.94</v>
      </c>
      <c r="J691" s="7" t="s">
        <v>58</v>
      </c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 t="s">
        <v>59</v>
      </c>
      <c r="V691" s="7" t="s">
        <v>101</v>
      </c>
      <c r="W691" s="7" t="s">
        <v>61</v>
      </c>
      <c r="X691" s="5" t="str">
        <f ca="1">IF(INDIRECT("W691")="Clássico","13%",IF(INDIRECT("W691")="Premium","17%","-"))</f>
        <v>13%</v>
      </c>
      <c r="Y691" s="7" t="s">
        <v>62</v>
      </c>
    </row>
    <row r="692" spans="1:25" ht="50" customHeight="1" x14ac:dyDescent="0.25">
      <c r="A692" s="5" t="s">
        <v>3141</v>
      </c>
      <c r="B692" s="5" t="s">
        <v>3142</v>
      </c>
      <c r="C692" s="5" t="s">
        <v>3143</v>
      </c>
      <c r="D692" s="5"/>
      <c r="E692" s="6" t="s">
        <v>3144</v>
      </c>
      <c r="F692" s="6" t="s">
        <v>3145</v>
      </c>
      <c r="G692" s="5" t="s">
        <v>3145</v>
      </c>
      <c r="H692" s="7">
        <v>24</v>
      </c>
      <c r="I692" s="7">
        <v>32.49</v>
      </c>
      <c r="J692" s="7" t="s">
        <v>58</v>
      </c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 t="s">
        <v>59</v>
      </c>
      <c r="V692" s="7" t="s">
        <v>1526</v>
      </c>
      <c r="W692" s="7" t="s">
        <v>84</v>
      </c>
      <c r="X692" s="5" t="str">
        <f ca="1">IF(INDIRECT("W692")="Clássico","13%",IF(INDIRECT("W692")="Premium","17%","-"))</f>
        <v>17%</v>
      </c>
      <c r="Y692" s="7" t="s">
        <v>62</v>
      </c>
    </row>
    <row r="693" spans="1:25" ht="50" customHeight="1" x14ac:dyDescent="0.25">
      <c r="A693" s="5" t="s">
        <v>484</v>
      </c>
      <c r="B693" s="5" t="s">
        <v>3146</v>
      </c>
      <c r="C693" s="5" t="s">
        <v>3147</v>
      </c>
      <c r="D693" s="5"/>
      <c r="E693" s="6" t="s">
        <v>487</v>
      </c>
      <c r="F693" s="6" t="s">
        <v>3148</v>
      </c>
      <c r="G693" s="5" t="s">
        <v>3148</v>
      </c>
      <c r="H693" s="7">
        <v>12</v>
      </c>
      <c r="I693" s="7">
        <v>23.74</v>
      </c>
      <c r="J693" s="7" t="s">
        <v>58</v>
      </c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 t="s">
        <v>59</v>
      </c>
      <c r="V693" s="7" t="s">
        <v>101</v>
      </c>
      <c r="W693" s="7" t="s">
        <v>84</v>
      </c>
      <c r="X693" s="5" t="str">
        <f ca="1">IF(INDIRECT("W693")="Clássico","13%",IF(INDIRECT("W693")="Premium","17%","-"))</f>
        <v>17%</v>
      </c>
      <c r="Y693" s="7" t="s">
        <v>62</v>
      </c>
    </row>
    <row r="694" spans="1:25" ht="50" customHeight="1" x14ac:dyDescent="0.25">
      <c r="A694" s="5" t="s">
        <v>3149</v>
      </c>
      <c r="B694" s="5" t="s">
        <v>3150</v>
      </c>
      <c r="C694" s="5" t="s">
        <v>3151</v>
      </c>
      <c r="D694" s="5"/>
      <c r="E694" s="6" t="s">
        <v>3152</v>
      </c>
      <c r="F694" s="6" t="s">
        <v>3153</v>
      </c>
      <c r="G694" s="5" t="s">
        <v>3153</v>
      </c>
      <c r="H694" s="7">
        <v>12</v>
      </c>
      <c r="I694" s="7">
        <v>23.74</v>
      </c>
      <c r="J694" s="7" t="s">
        <v>58</v>
      </c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 t="s">
        <v>59</v>
      </c>
      <c r="V694" s="7" t="s">
        <v>101</v>
      </c>
      <c r="W694" s="7" t="s">
        <v>84</v>
      </c>
      <c r="X694" s="5" t="str">
        <f ca="1">IF(INDIRECT("W694")="Clássico","13%",IF(INDIRECT("W694")="Premium","17%","-"))</f>
        <v>17%</v>
      </c>
      <c r="Y694" s="7" t="s">
        <v>62</v>
      </c>
    </row>
    <row r="695" spans="1:25" ht="50" customHeight="1" x14ac:dyDescent="0.25">
      <c r="A695" s="5" t="s">
        <v>3154</v>
      </c>
      <c r="B695" s="5" t="s">
        <v>3155</v>
      </c>
      <c r="C695" s="5" t="s">
        <v>3156</v>
      </c>
      <c r="D695" s="5"/>
      <c r="E695" s="6" t="s">
        <v>3157</v>
      </c>
      <c r="F695" s="6" t="s">
        <v>3158</v>
      </c>
      <c r="G695" s="5" t="s">
        <v>3158</v>
      </c>
      <c r="H695" s="7">
        <v>12</v>
      </c>
      <c r="I695" s="7">
        <v>20.94</v>
      </c>
      <c r="J695" s="7" t="s">
        <v>58</v>
      </c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 t="s">
        <v>59</v>
      </c>
      <c r="V695" s="7" t="s">
        <v>101</v>
      </c>
      <c r="W695" s="7" t="s">
        <v>84</v>
      </c>
      <c r="X695" s="5" t="str">
        <f ca="1">IF(INDIRECT("W695")="Clássico","13%",IF(INDIRECT("W695")="Premium","17%","-"))</f>
        <v>17%</v>
      </c>
      <c r="Y695" s="7" t="s">
        <v>62</v>
      </c>
    </row>
    <row r="696" spans="1:25" ht="50" customHeight="1" x14ac:dyDescent="0.25">
      <c r="A696" s="5" t="s">
        <v>1277</v>
      </c>
      <c r="B696" s="5" t="s">
        <v>3159</v>
      </c>
      <c r="C696" s="5" t="s">
        <v>3160</v>
      </c>
      <c r="D696" s="5"/>
      <c r="E696" s="6" t="s">
        <v>1280</v>
      </c>
      <c r="F696" s="6" t="s">
        <v>3161</v>
      </c>
      <c r="G696" s="5" t="s">
        <v>3161</v>
      </c>
      <c r="H696" s="7">
        <v>12</v>
      </c>
      <c r="I696" s="7">
        <v>20.94</v>
      </c>
      <c r="J696" s="7" t="s">
        <v>58</v>
      </c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 t="s">
        <v>59</v>
      </c>
      <c r="V696" s="7" t="s">
        <v>101</v>
      </c>
      <c r="W696" s="7" t="s">
        <v>84</v>
      </c>
      <c r="X696" s="5" t="str">
        <f ca="1">IF(INDIRECT("W696")="Clássico","13%",IF(INDIRECT("W696")="Premium","17%","-"))</f>
        <v>17%</v>
      </c>
      <c r="Y696" s="7" t="s">
        <v>62</v>
      </c>
    </row>
    <row r="697" spans="1:25" ht="50" customHeight="1" x14ac:dyDescent="0.25">
      <c r="A697" s="5" t="s">
        <v>2439</v>
      </c>
      <c r="B697" s="5" t="s">
        <v>3162</v>
      </c>
      <c r="C697" s="5" t="s">
        <v>3163</v>
      </c>
      <c r="D697" s="5"/>
      <c r="E697" s="6" t="s">
        <v>2442</v>
      </c>
      <c r="F697" s="6" t="s">
        <v>3164</v>
      </c>
      <c r="G697" s="5" t="s">
        <v>3164</v>
      </c>
      <c r="H697" s="7">
        <v>12</v>
      </c>
      <c r="I697" s="7">
        <v>20.94</v>
      </c>
      <c r="J697" s="7" t="s">
        <v>58</v>
      </c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 t="s">
        <v>59</v>
      </c>
      <c r="V697" s="7" t="s">
        <v>101</v>
      </c>
      <c r="W697" s="7" t="s">
        <v>84</v>
      </c>
      <c r="X697" s="5" t="str">
        <f ca="1">IF(INDIRECT("W697")="Clássico","13%",IF(INDIRECT("W697")="Premium","17%","-"))</f>
        <v>17%</v>
      </c>
      <c r="Y697" s="7" t="s">
        <v>62</v>
      </c>
    </row>
    <row r="698" spans="1:25" ht="50" customHeight="1" x14ac:dyDescent="0.25">
      <c r="A698" s="5" t="s">
        <v>3165</v>
      </c>
      <c r="B698" s="5" t="s">
        <v>3166</v>
      </c>
      <c r="C698" s="5" t="s">
        <v>3167</v>
      </c>
      <c r="D698" s="5"/>
      <c r="E698" s="6" t="s">
        <v>3168</v>
      </c>
      <c r="F698" s="6" t="s">
        <v>3169</v>
      </c>
      <c r="G698" s="5" t="s">
        <v>3169</v>
      </c>
      <c r="H698" s="7">
        <v>11</v>
      </c>
      <c r="I698" s="7">
        <v>23.74</v>
      </c>
      <c r="J698" s="7" t="s">
        <v>58</v>
      </c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 t="s">
        <v>59</v>
      </c>
      <c r="V698" s="7" t="s">
        <v>101</v>
      </c>
      <c r="W698" s="7" t="s">
        <v>61</v>
      </c>
      <c r="X698" s="5" t="str">
        <f ca="1">IF(INDIRECT("W698")="Clássico","13%",IF(INDIRECT("W698")="Premium","17%","-"))</f>
        <v>13%</v>
      </c>
      <c r="Y698" s="7" t="s">
        <v>62</v>
      </c>
    </row>
    <row r="699" spans="1:25" ht="50" customHeight="1" x14ac:dyDescent="0.25">
      <c r="A699" s="5" t="s">
        <v>2713</v>
      </c>
      <c r="B699" s="5" t="s">
        <v>3170</v>
      </c>
      <c r="C699" s="5" t="s">
        <v>3171</v>
      </c>
      <c r="D699" s="5"/>
      <c r="E699" s="6" t="s">
        <v>2716</v>
      </c>
      <c r="F699" s="6" t="s">
        <v>3172</v>
      </c>
      <c r="G699" s="5" t="s">
        <v>3172</v>
      </c>
      <c r="H699" s="7">
        <v>12</v>
      </c>
      <c r="I699" s="7">
        <v>23.74</v>
      </c>
      <c r="J699" s="7" t="s">
        <v>58</v>
      </c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 t="s">
        <v>59</v>
      </c>
      <c r="V699" s="7" t="s">
        <v>101</v>
      </c>
      <c r="W699" s="7" t="s">
        <v>61</v>
      </c>
      <c r="X699" s="5" t="str">
        <f ca="1">IF(INDIRECT("W699")="Clássico","13%",IF(INDIRECT("W699")="Premium","17%","-"))</f>
        <v>13%</v>
      </c>
      <c r="Y699" s="7" t="s">
        <v>62</v>
      </c>
    </row>
    <row r="700" spans="1:25" ht="50" customHeight="1" x14ac:dyDescent="0.25">
      <c r="A700" s="5" t="s">
        <v>3173</v>
      </c>
      <c r="B700" s="5" t="s">
        <v>3174</v>
      </c>
      <c r="C700" s="5" t="s">
        <v>3175</v>
      </c>
      <c r="D700" s="5"/>
      <c r="E700" s="6" t="s">
        <v>3176</v>
      </c>
      <c r="F700" s="6" t="s">
        <v>3177</v>
      </c>
      <c r="G700" s="5" t="s">
        <v>3177</v>
      </c>
      <c r="H700" s="7">
        <v>12</v>
      </c>
      <c r="I700" s="7">
        <v>20.94</v>
      </c>
      <c r="J700" s="7" t="s">
        <v>58</v>
      </c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 t="s">
        <v>59</v>
      </c>
      <c r="V700" s="7" t="s">
        <v>101</v>
      </c>
      <c r="W700" s="7" t="s">
        <v>84</v>
      </c>
      <c r="X700" s="5" t="str">
        <f ca="1">IF(INDIRECT("W700")="Clássico","13%",IF(INDIRECT("W700")="Premium","17%","-"))</f>
        <v>17%</v>
      </c>
      <c r="Y700" s="7" t="s">
        <v>62</v>
      </c>
    </row>
    <row r="701" spans="1:25" ht="50" customHeight="1" x14ac:dyDescent="0.25">
      <c r="A701" s="5" t="s">
        <v>791</v>
      </c>
      <c r="B701" s="5" t="s">
        <v>3178</v>
      </c>
      <c r="C701" s="5" t="s">
        <v>3179</v>
      </c>
      <c r="D701" s="5"/>
      <c r="E701" s="6" t="s">
        <v>794</v>
      </c>
      <c r="F701" s="6" t="s">
        <v>3180</v>
      </c>
      <c r="G701" s="5" t="s">
        <v>3180</v>
      </c>
      <c r="H701" s="7">
        <v>12</v>
      </c>
      <c r="I701" s="7">
        <v>20.94</v>
      </c>
      <c r="J701" s="7" t="s">
        <v>58</v>
      </c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 t="s">
        <v>59</v>
      </c>
      <c r="V701" s="7" t="s">
        <v>101</v>
      </c>
      <c r="W701" s="7" t="s">
        <v>61</v>
      </c>
      <c r="X701" s="5" t="str">
        <f ca="1">IF(INDIRECT("W701")="Clássico","13%",IF(INDIRECT("W701")="Premium","17%","-"))</f>
        <v>13%</v>
      </c>
      <c r="Y701" s="7" t="s">
        <v>62</v>
      </c>
    </row>
    <row r="702" spans="1:25" ht="50" customHeight="1" x14ac:dyDescent="0.25">
      <c r="A702" s="5" t="s">
        <v>2971</v>
      </c>
      <c r="B702" s="5" t="s">
        <v>3181</v>
      </c>
      <c r="C702" s="5" t="s">
        <v>3182</v>
      </c>
      <c r="D702" s="5"/>
      <c r="E702" s="6" t="s">
        <v>2974</v>
      </c>
      <c r="F702" s="6" t="s">
        <v>3183</v>
      </c>
      <c r="G702" s="5" t="s">
        <v>3183</v>
      </c>
      <c r="H702" s="7">
        <v>12</v>
      </c>
      <c r="I702" s="7">
        <v>20.94</v>
      </c>
      <c r="J702" s="7" t="s">
        <v>58</v>
      </c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 t="s">
        <v>59</v>
      </c>
      <c r="V702" s="7" t="s">
        <v>101</v>
      </c>
      <c r="W702" s="7" t="s">
        <v>84</v>
      </c>
      <c r="X702" s="5" t="str">
        <f ca="1">IF(INDIRECT("W702")="Clássico","13%",IF(INDIRECT("W702")="Premium","17%","-"))</f>
        <v>17%</v>
      </c>
      <c r="Y702" s="7" t="s">
        <v>62</v>
      </c>
    </row>
    <row r="703" spans="1:25" ht="50" customHeight="1" x14ac:dyDescent="0.25">
      <c r="A703" s="5" t="s">
        <v>878</v>
      </c>
      <c r="B703" s="5" t="s">
        <v>3184</v>
      </c>
      <c r="C703" s="5" t="s">
        <v>3185</v>
      </c>
      <c r="D703" s="5"/>
      <c r="E703" s="6" t="s">
        <v>881</v>
      </c>
      <c r="F703" s="6" t="s">
        <v>3186</v>
      </c>
      <c r="G703" s="5" t="s">
        <v>3186</v>
      </c>
      <c r="H703" s="7">
        <v>12</v>
      </c>
      <c r="I703" s="7">
        <v>23.74</v>
      </c>
      <c r="J703" s="7" t="s">
        <v>58</v>
      </c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 t="s">
        <v>59</v>
      </c>
      <c r="V703" s="7" t="s">
        <v>101</v>
      </c>
      <c r="W703" s="7" t="s">
        <v>61</v>
      </c>
      <c r="X703" s="5" t="str">
        <f ca="1">IF(INDIRECT("W703")="Clássico","13%",IF(INDIRECT("W703")="Premium","17%","-"))</f>
        <v>13%</v>
      </c>
      <c r="Y703" s="7" t="s">
        <v>62</v>
      </c>
    </row>
    <row r="704" spans="1:25" ht="50" customHeight="1" x14ac:dyDescent="0.25">
      <c r="A704" s="5" t="s">
        <v>1956</v>
      </c>
      <c r="B704" s="5" t="s">
        <v>3187</v>
      </c>
      <c r="C704" s="5" t="s">
        <v>3188</v>
      </c>
      <c r="D704" s="5"/>
      <c r="E704" s="6" t="s">
        <v>1959</v>
      </c>
      <c r="F704" s="6" t="s">
        <v>3189</v>
      </c>
      <c r="G704" s="5" t="s">
        <v>3189</v>
      </c>
      <c r="H704" s="7">
        <v>12</v>
      </c>
      <c r="I704" s="7">
        <v>23.74</v>
      </c>
      <c r="J704" s="7" t="s">
        <v>58</v>
      </c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 t="s">
        <v>59</v>
      </c>
      <c r="V704" s="7" t="s">
        <v>101</v>
      </c>
      <c r="W704" s="7" t="s">
        <v>84</v>
      </c>
      <c r="X704" s="5" t="str">
        <f ca="1">IF(INDIRECT("W704")="Clássico","13%",IF(INDIRECT("W704")="Premium","17%","-"))</f>
        <v>17%</v>
      </c>
      <c r="Y704" s="7" t="s">
        <v>62</v>
      </c>
    </row>
    <row r="705" spans="1:25" ht="50" customHeight="1" x14ac:dyDescent="0.25">
      <c r="A705" s="5" t="s">
        <v>3190</v>
      </c>
      <c r="B705" s="5" t="s">
        <v>3191</v>
      </c>
      <c r="C705" s="5" t="s">
        <v>3192</v>
      </c>
      <c r="D705" s="5"/>
      <c r="E705" s="6" t="s">
        <v>3193</v>
      </c>
      <c r="F705" s="6" t="s">
        <v>3194</v>
      </c>
      <c r="G705" s="5" t="s">
        <v>3194</v>
      </c>
      <c r="H705" s="7">
        <v>12</v>
      </c>
      <c r="I705" s="7">
        <v>20.94</v>
      </c>
      <c r="J705" s="7" t="s">
        <v>58</v>
      </c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 t="s">
        <v>59</v>
      </c>
      <c r="V705" s="7" t="s">
        <v>101</v>
      </c>
      <c r="W705" s="7" t="s">
        <v>61</v>
      </c>
      <c r="X705" s="5" t="str">
        <f ca="1">IF(INDIRECT("W705")="Clássico","13%",IF(INDIRECT("W705")="Premium","17%","-"))</f>
        <v>13%</v>
      </c>
      <c r="Y705" s="7" t="s">
        <v>62</v>
      </c>
    </row>
    <row r="706" spans="1:25" ht="50" customHeight="1" x14ac:dyDescent="0.25">
      <c r="A706" s="5" t="s">
        <v>821</v>
      </c>
      <c r="B706" s="5" t="s">
        <v>3195</v>
      </c>
      <c r="C706" s="5" t="s">
        <v>3196</v>
      </c>
      <c r="D706" s="5"/>
      <c r="E706" s="6" t="s">
        <v>824</v>
      </c>
      <c r="F706" s="6" t="s">
        <v>3197</v>
      </c>
      <c r="G706" s="5" t="s">
        <v>3197</v>
      </c>
      <c r="H706" s="7">
        <v>12</v>
      </c>
      <c r="I706" s="7">
        <v>23.74</v>
      </c>
      <c r="J706" s="7" t="s">
        <v>58</v>
      </c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 t="s">
        <v>59</v>
      </c>
      <c r="V706" s="7" t="s">
        <v>101</v>
      </c>
      <c r="W706" s="7" t="s">
        <v>84</v>
      </c>
      <c r="X706" s="5" t="str">
        <f ca="1">IF(INDIRECT("W706")="Clássico","13%",IF(INDIRECT("W706")="Premium","17%","-"))</f>
        <v>17%</v>
      </c>
      <c r="Y706" s="7" t="s">
        <v>62</v>
      </c>
    </row>
    <row r="707" spans="1:25" ht="50" customHeight="1" x14ac:dyDescent="0.25">
      <c r="A707" s="5" t="s">
        <v>868</v>
      </c>
      <c r="B707" s="5" t="s">
        <v>3198</v>
      </c>
      <c r="C707" s="5" t="s">
        <v>3199</v>
      </c>
      <c r="D707" s="5"/>
      <c r="E707" s="6" t="s">
        <v>871</v>
      </c>
      <c r="F707" s="6" t="s">
        <v>3200</v>
      </c>
      <c r="G707" s="5" t="s">
        <v>3200</v>
      </c>
      <c r="H707" s="7">
        <v>9</v>
      </c>
      <c r="I707" s="7">
        <v>23.74</v>
      </c>
      <c r="J707" s="7" t="s">
        <v>58</v>
      </c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 t="s">
        <v>59</v>
      </c>
      <c r="V707" s="7" t="s">
        <v>101</v>
      </c>
      <c r="W707" s="7" t="s">
        <v>61</v>
      </c>
      <c r="X707" s="5" t="str">
        <f ca="1">IF(INDIRECT("W707")="Clássico","13%",IF(INDIRECT("W707")="Premium","17%","-"))</f>
        <v>13%</v>
      </c>
      <c r="Y707" s="7" t="s">
        <v>62</v>
      </c>
    </row>
    <row r="708" spans="1:25" ht="50" customHeight="1" x14ac:dyDescent="0.25">
      <c r="A708" s="5" t="s">
        <v>2987</v>
      </c>
      <c r="B708" s="5" t="s">
        <v>3201</v>
      </c>
      <c r="C708" s="5" t="s">
        <v>3202</v>
      </c>
      <c r="D708" s="5"/>
      <c r="E708" s="6" t="s">
        <v>2990</v>
      </c>
      <c r="F708" s="6" t="s">
        <v>3203</v>
      </c>
      <c r="G708" s="5" t="s">
        <v>3203</v>
      </c>
      <c r="H708" s="7">
        <v>12</v>
      </c>
      <c r="I708" s="7">
        <v>20.94</v>
      </c>
      <c r="J708" s="7" t="s">
        <v>58</v>
      </c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 t="s">
        <v>59</v>
      </c>
      <c r="V708" s="7" t="s">
        <v>101</v>
      </c>
      <c r="W708" s="7" t="s">
        <v>84</v>
      </c>
      <c r="X708" s="5" t="str">
        <f ca="1">IF(INDIRECT("W708")="Clássico","13%",IF(INDIRECT("W708")="Premium","17%","-"))</f>
        <v>17%</v>
      </c>
      <c r="Y708" s="7" t="s">
        <v>62</v>
      </c>
    </row>
    <row r="709" spans="1:25" ht="50" customHeight="1" x14ac:dyDescent="0.25">
      <c r="A709" s="5" t="s">
        <v>3204</v>
      </c>
      <c r="B709" s="5" t="s">
        <v>3205</v>
      </c>
      <c r="C709" s="5" t="s">
        <v>3206</v>
      </c>
      <c r="D709" s="5"/>
      <c r="E709" s="6" t="s">
        <v>3207</v>
      </c>
      <c r="F709" s="6" t="s">
        <v>3208</v>
      </c>
      <c r="G709" s="5" t="s">
        <v>3208</v>
      </c>
      <c r="H709" s="7">
        <v>24</v>
      </c>
      <c r="I709" s="7">
        <v>20.94</v>
      </c>
      <c r="J709" s="7" t="s">
        <v>58</v>
      </c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 t="s">
        <v>59</v>
      </c>
      <c r="V709" s="7" t="s">
        <v>101</v>
      </c>
      <c r="W709" s="7" t="s">
        <v>84</v>
      </c>
      <c r="X709" s="5" t="str">
        <f ca="1">IF(INDIRECT("W709")="Clássico","13%",IF(INDIRECT("W709")="Premium","17%","-"))</f>
        <v>17%</v>
      </c>
      <c r="Y709" s="7" t="s">
        <v>62</v>
      </c>
    </row>
    <row r="710" spans="1:25" ht="50" customHeight="1" x14ac:dyDescent="0.25">
      <c r="A710" s="5" t="s">
        <v>1858</v>
      </c>
      <c r="B710" s="5" t="s">
        <v>3209</v>
      </c>
      <c r="C710" s="5" t="s">
        <v>1860</v>
      </c>
      <c r="D710" s="5"/>
      <c r="E710" s="6" t="s">
        <v>1861</v>
      </c>
      <c r="F710" s="6" t="s">
        <v>1862</v>
      </c>
      <c r="G710" s="5" t="s">
        <v>1862</v>
      </c>
      <c r="H710" s="7">
        <v>4</v>
      </c>
      <c r="I710" s="7">
        <v>35.49</v>
      </c>
      <c r="J710" s="7" t="s">
        <v>58</v>
      </c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 t="s">
        <v>59</v>
      </c>
      <c r="V710" s="7" t="s">
        <v>60</v>
      </c>
      <c r="W710" s="7" t="s">
        <v>84</v>
      </c>
      <c r="X710" s="5" t="str">
        <f ca="1">IF(INDIRECT("W710")="Clássico","13%",IF(INDIRECT("W710")="Premium","17%","-"))</f>
        <v>17%</v>
      </c>
      <c r="Y710" s="7" t="s">
        <v>62</v>
      </c>
    </row>
    <row r="711" spans="1:25" ht="50" customHeight="1" x14ac:dyDescent="0.25">
      <c r="A711" s="5" t="s">
        <v>1287</v>
      </c>
      <c r="B711" s="5" t="s">
        <v>3210</v>
      </c>
      <c r="C711" s="5" t="s">
        <v>1289</v>
      </c>
      <c r="D711" s="5"/>
      <c r="E711" s="6" t="s">
        <v>1290</v>
      </c>
      <c r="F711" s="5" t="s">
        <v>3014</v>
      </c>
      <c r="G711" s="5" t="s">
        <v>78</v>
      </c>
      <c r="H711" s="7">
        <v>6</v>
      </c>
      <c r="I711" s="7">
        <v>21.24</v>
      </c>
      <c r="J711" s="7" t="s">
        <v>58</v>
      </c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5" t="s">
        <v>59</v>
      </c>
      <c r="V711" s="7" t="s">
        <v>60</v>
      </c>
      <c r="W711" s="7" t="s">
        <v>84</v>
      </c>
      <c r="X711" s="5" t="str">
        <f ca="1">IF(INDIRECT("W711")="Clássico","12%",IF(INDIRECT("W711")="Premium","17%","-"))</f>
        <v>17%</v>
      </c>
      <c r="Y711" s="7" t="s">
        <v>62</v>
      </c>
    </row>
    <row r="712" spans="1:25" ht="50" customHeight="1" x14ac:dyDescent="0.25">
      <c r="A712" s="5" t="s">
        <v>1631</v>
      </c>
      <c r="B712" s="5" t="s">
        <v>3211</v>
      </c>
      <c r="C712" s="5" t="s">
        <v>1633</v>
      </c>
      <c r="D712" s="5"/>
      <c r="E712" s="6" t="s">
        <v>1634</v>
      </c>
      <c r="F712" s="5" t="s">
        <v>3031</v>
      </c>
      <c r="G712" s="5" t="s">
        <v>78</v>
      </c>
      <c r="H712" s="7">
        <v>35</v>
      </c>
      <c r="I712" s="7">
        <v>24.99</v>
      </c>
      <c r="J712" s="7" t="s">
        <v>58</v>
      </c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5" t="s">
        <v>59</v>
      </c>
      <c r="V712" s="7" t="s">
        <v>60</v>
      </c>
      <c r="W712" s="7" t="s">
        <v>84</v>
      </c>
      <c r="X712" s="5" t="str">
        <f ca="1">IF(INDIRECT("W712")="Clássico","13%",IF(INDIRECT("W712")="Premium","17%","-"))</f>
        <v>17%</v>
      </c>
      <c r="Y712" s="7" t="s">
        <v>62</v>
      </c>
    </row>
    <row r="713" spans="1:25" ht="50" customHeight="1" x14ac:dyDescent="0.25">
      <c r="A713" s="5" t="s">
        <v>3004</v>
      </c>
      <c r="B713" s="5" t="s">
        <v>3212</v>
      </c>
      <c r="C713" s="5" t="s">
        <v>3006</v>
      </c>
      <c r="D713" s="5"/>
      <c r="E713" s="6" t="s">
        <v>3007</v>
      </c>
      <c r="F713" s="5" t="s">
        <v>3024</v>
      </c>
      <c r="G713" s="5" t="s">
        <v>78</v>
      </c>
      <c r="H713" s="7">
        <v>10</v>
      </c>
      <c r="I713" s="7">
        <v>17.489999999999998</v>
      </c>
      <c r="J713" s="7" t="s">
        <v>58</v>
      </c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5" t="s">
        <v>59</v>
      </c>
      <c r="V713" s="7" t="s">
        <v>60</v>
      </c>
      <c r="W713" s="7" t="s">
        <v>84</v>
      </c>
      <c r="X713" s="5" t="str">
        <f ca="1">IF(INDIRECT("W713")="Clássico","13%",IF(INDIRECT("W713")="Premium","17%","-"))</f>
        <v>17%</v>
      </c>
      <c r="Y713" s="7" t="s">
        <v>62</v>
      </c>
    </row>
    <row r="714" spans="1:25" ht="50" customHeight="1" x14ac:dyDescent="0.25">
      <c r="A714" s="5" t="s">
        <v>873</v>
      </c>
      <c r="B714" s="5" t="s">
        <v>3213</v>
      </c>
      <c r="C714" s="5" t="s">
        <v>875</v>
      </c>
      <c r="D714" s="5"/>
      <c r="E714" s="6" t="s">
        <v>876</v>
      </c>
      <c r="F714" s="5" t="s">
        <v>3214</v>
      </c>
      <c r="G714" s="5" t="s">
        <v>78</v>
      </c>
      <c r="H714" s="7">
        <v>2</v>
      </c>
      <c r="I714" s="7">
        <v>39.49</v>
      </c>
      <c r="J714" s="7" t="s">
        <v>58</v>
      </c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5" t="s">
        <v>59</v>
      </c>
      <c r="V714" s="7" t="s">
        <v>60</v>
      </c>
      <c r="W714" s="7" t="s">
        <v>61</v>
      </c>
      <c r="X714" s="5" t="str">
        <f ca="1">IF(INDIRECT("W714")="Clássico","13%",IF(INDIRECT("W714")="Premium","17%","-"))</f>
        <v>13%</v>
      </c>
      <c r="Y714" s="7" t="s">
        <v>62</v>
      </c>
    </row>
    <row r="715" spans="1:25" ht="50" customHeight="1" x14ac:dyDescent="0.25">
      <c r="A715" s="5" t="s">
        <v>3215</v>
      </c>
      <c r="B715" s="5" t="s">
        <v>3216</v>
      </c>
      <c r="C715" s="5" t="s">
        <v>3217</v>
      </c>
      <c r="D715" s="5"/>
      <c r="E715" s="6" t="s">
        <v>3218</v>
      </c>
      <c r="F715" s="6" t="s">
        <v>3219</v>
      </c>
      <c r="G715" s="5" t="s">
        <v>3219</v>
      </c>
      <c r="H715" s="7">
        <v>3</v>
      </c>
      <c r="I715" s="7">
        <v>28.99</v>
      </c>
      <c r="J715" s="7" t="s">
        <v>58</v>
      </c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 t="s">
        <v>59</v>
      </c>
      <c r="V715" s="7" t="s">
        <v>60</v>
      </c>
      <c r="W715" s="7" t="s">
        <v>61</v>
      </c>
      <c r="X715" s="5" t="str">
        <f ca="1">IF(INDIRECT("W715")="Clássico","13%",IF(INDIRECT("W715")="Premium","17%","-"))</f>
        <v>13%</v>
      </c>
      <c r="Y715" s="7" t="s">
        <v>62</v>
      </c>
    </row>
    <row r="716" spans="1:25" ht="50" customHeight="1" x14ac:dyDescent="0.25">
      <c r="A716" s="5" t="s">
        <v>3220</v>
      </c>
      <c r="B716" s="5" t="s">
        <v>3221</v>
      </c>
      <c r="C716" s="5" t="s">
        <v>3222</v>
      </c>
      <c r="D716" s="5"/>
      <c r="E716" s="6" t="s">
        <v>3223</v>
      </c>
      <c r="F716" s="6" t="s">
        <v>3224</v>
      </c>
      <c r="G716" s="5" t="s">
        <v>3224</v>
      </c>
      <c r="H716" s="7">
        <v>6</v>
      </c>
      <c r="I716" s="7">
        <v>21.24</v>
      </c>
      <c r="J716" s="7" t="s">
        <v>58</v>
      </c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 t="s">
        <v>59</v>
      </c>
      <c r="V716" s="7" t="s">
        <v>60</v>
      </c>
      <c r="W716" s="7" t="s">
        <v>61</v>
      </c>
      <c r="X716" s="5" t="str">
        <f ca="1">IF(INDIRECT("W716")="Clássico","12%",IF(INDIRECT("W716")="Premium","17%","-"))</f>
        <v>12%</v>
      </c>
      <c r="Y716" s="7" t="s">
        <v>62</v>
      </c>
    </row>
    <row r="717" spans="1:25" ht="50" customHeight="1" x14ac:dyDescent="0.25">
      <c r="A717" s="5" t="s">
        <v>3225</v>
      </c>
      <c r="B717" s="5" t="s">
        <v>3226</v>
      </c>
      <c r="C717" s="5" t="s">
        <v>3227</v>
      </c>
      <c r="D717" s="5"/>
      <c r="E717" s="6" t="s">
        <v>3228</v>
      </c>
      <c r="F717" s="6" t="s">
        <v>3229</v>
      </c>
      <c r="G717" s="5" t="s">
        <v>3229</v>
      </c>
      <c r="H717" s="7">
        <v>24</v>
      </c>
      <c r="I717" s="7">
        <v>18.739999999999998</v>
      </c>
      <c r="J717" s="7" t="s">
        <v>58</v>
      </c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 t="s">
        <v>59</v>
      </c>
      <c r="V717" s="7" t="s">
        <v>60</v>
      </c>
      <c r="W717" s="7" t="s">
        <v>61</v>
      </c>
      <c r="X717" s="5" t="str">
        <f ca="1">IF(INDIRECT("W717")="Clássico","12%",IF(INDIRECT("W717")="Premium","17%","-"))</f>
        <v>12%</v>
      </c>
      <c r="Y717" s="7" t="s">
        <v>62</v>
      </c>
    </row>
    <row r="718" spans="1:25" ht="50" customHeight="1" x14ac:dyDescent="0.25">
      <c r="A718" s="5" t="s">
        <v>3230</v>
      </c>
      <c r="B718" s="5" t="s">
        <v>3231</v>
      </c>
      <c r="C718" s="5" t="s">
        <v>3232</v>
      </c>
      <c r="D718" s="5"/>
      <c r="E718" s="6" t="s">
        <v>3233</v>
      </c>
      <c r="F718" s="6" t="s">
        <v>3234</v>
      </c>
      <c r="G718" s="5" t="s">
        <v>3234</v>
      </c>
      <c r="H718" s="7">
        <v>23</v>
      </c>
      <c r="I718" s="7">
        <v>22.9</v>
      </c>
      <c r="J718" s="7" t="s">
        <v>58</v>
      </c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 t="s">
        <v>59</v>
      </c>
      <c r="V718" s="7" t="s">
        <v>60</v>
      </c>
      <c r="W718" s="7" t="s">
        <v>61</v>
      </c>
      <c r="X718" s="5" t="str">
        <f ca="1">IF(INDIRECT("W718")="Clássico","13%",IF(INDIRECT("W718")="Premium","17%","-"))</f>
        <v>13%</v>
      </c>
      <c r="Y718" s="7" t="s">
        <v>62</v>
      </c>
    </row>
    <row r="719" spans="1:25" ht="50" customHeight="1" x14ac:dyDescent="0.25">
      <c r="A719" s="5" t="s">
        <v>2120</v>
      </c>
      <c r="B719" s="5" t="s">
        <v>3235</v>
      </c>
      <c r="C719" s="5" t="s">
        <v>3236</v>
      </c>
      <c r="D719" s="5"/>
      <c r="E719" s="6" t="s">
        <v>2123</v>
      </c>
      <c r="F719" s="6" t="s">
        <v>3237</v>
      </c>
      <c r="G719" s="5" t="s">
        <v>3237</v>
      </c>
      <c r="H719" s="7">
        <v>20</v>
      </c>
      <c r="I719" s="7">
        <v>17.489999999999998</v>
      </c>
      <c r="J719" s="7" t="s">
        <v>58</v>
      </c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 t="s">
        <v>59</v>
      </c>
      <c r="V719" s="7" t="s">
        <v>60</v>
      </c>
      <c r="W719" s="7" t="s">
        <v>84</v>
      </c>
      <c r="X719" s="5" t="str">
        <f ca="1">IF(INDIRECT("W719")="Clássico","13%",IF(INDIRECT("W719")="Premium","17%","-"))</f>
        <v>17%</v>
      </c>
      <c r="Y719" s="7" t="s">
        <v>62</v>
      </c>
    </row>
    <row r="720" spans="1:25" ht="50" customHeight="1" x14ac:dyDescent="0.25">
      <c r="A720" s="5" t="s">
        <v>3238</v>
      </c>
      <c r="B720" s="5" t="s">
        <v>3239</v>
      </c>
      <c r="C720" s="5" t="s">
        <v>3240</v>
      </c>
      <c r="D720" s="5"/>
      <c r="E720" s="6" t="s">
        <v>3241</v>
      </c>
      <c r="F720" s="6" t="s">
        <v>3242</v>
      </c>
      <c r="G720" s="5" t="s">
        <v>3242</v>
      </c>
      <c r="H720" s="7">
        <v>8</v>
      </c>
      <c r="I720" s="7">
        <v>30.49</v>
      </c>
      <c r="J720" s="7" t="s">
        <v>58</v>
      </c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 t="s">
        <v>59</v>
      </c>
      <c r="V720" s="7" t="s">
        <v>60</v>
      </c>
      <c r="W720" s="7" t="s">
        <v>61</v>
      </c>
      <c r="X720" s="5" t="str">
        <f ca="1">IF(INDIRECT("W720")="Clássico","13%",IF(INDIRECT("W720")="Premium","17%","-"))</f>
        <v>13%</v>
      </c>
      <c r="Y720" s="7" t="s">
        <v>62</v>
      </c>
    </row>
    <row r="721" spans="1:25" ht="50" customHeight="1" x14ac:dyDescent="0.25">
      <c r="A721" s="5" t="s">
        <v>3243</v>
      </c>
      <c r="B721" s="5" t="s">
        <v>3244</v>
      </c>
      <c r="C721" s="5" t="s">
        <v>3245</v>
      </c>
      <c r="D721" s="5"/>
      <c r="E721" s="6" t="s">
        <v>3246</v>
      </c>
      <c r="F721" s="6" t="s">
        <v>3247</v>
      </c>
      <c r="G721" s="5" t="s">
        <v>3247</v>
      </c>
      <c r="H721" s="7">
        <v>8</v>
      </c>
      <c r="I721" s="7">
        <v>30.49</v>
      </c>
      <c r="J721" s="7" t="s">
        <v>58</v>
      </c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 t="s">
        <v>59</v>
      </c>
      <c r="V721" s="7" t="s">
        <v>60</v>
      </c>
      <c r="W721" s="7" t="s">
        <v>61</v>
      </c>
      <c r="X721" s="5" t="str">
        <f ca="1">IF(INDIRECT("W721")="Clássico","13%",IF(INDIRECT("W721")="Premium","17%","-"))</f>
        <v>13%</v>
      </c>
      <c r="Y721" s="7" t="s">
        <v>62</v>
      </c>
    </row>
    <row r="722" spans="1:25" ht="50" customHeight="1" x14ac:dyDescent="0.25">
      <c r="A722" s="5" t="s">
        <v>3248</v>
      </c>
      <c r="B722" s="5" t="s">
        <v>3249</v>
      </c>
      <c r="C722" s="5" t="s">
        <v>3250</v>
      </c>
      <c r="D722" s="5"/>
      <c r="E722" s="6" t="s">
        <v>3251</v>
      </c>
      <c r="F722" s="6" t="s">
        <v>3252</v>
      </c>
      <c r="G722" s="5" t="s">
        <v>3252</v>
      </c>
      <c r="H722" s="7">
        <v>18</v>
      </c>
      <c r="I722" s="7">
        <v>24.99</v>
      </c>
      <c r="J722" s="7" t="s">
        <v>58</v>
      </c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 t="s">
        <v>59</v>
      </c>
      <c r="V722" s="7" t="s">
        <v>60</v>
      </c>
      <c r="W722" s="7" t="s">
        <v>84</v>
      </c>
      <c r="X722" s="5" t="str">
        <f ca="1">IF(INDIRECT("W722")="Clássico","13%",IF(INDIRECT("W722")="Premium","17%","-"))</f>
        <v>17%</v>
      </c>
      <c r="Y722" s="7" t="s">
        <v>62</v>
      </c>
    </row>
    <row r="723" spans="1:25" ht="50" customHeight="1" x14ac:dyDescent="0.25">
      <c r="A723" s="5" t="s">
        <v>3253</v>
      </c>
      <c r="B723" s="5" t="s">
        <v>3254</v>
      </c>
      <c r="C723" s="5" t="s">
        <v>3255</v>
      </c>
      <c r="D723" s="5"/>
      <c r="E723" s="6" t="s">
        <v>3256</v>
      </c>
      <c r="F723" s="6" t="s">
        <v>3257</v>
      </c>
      <c r="G723" s="5" t="s">
        <v>3257</v>
      </c>
      <c r="H723" s="7">
        <v>3</v>
      </c>
      <c r="I723" s="7">
        <v>22.49</v>
      </c>
      <c r="J723" s="7" t="s">
        <v>58</v>
      </c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 t="s">
        <v>59</v>
      </c>
      <c r="V723" s="7" t="s">
        <v>60</v>
      </c>
      <c r="W723" s="7" t="s">
        <v>61</v>
      </c>
      <c r="X723" s="5" t="str">
        <f ca="1">IF(INDIRECT("W723")="Clássico","13%",IF(INDIRECT("W723")="Premium","17%","-"))</f>
        <v>13%</v>
      </c>
      <c r="Y723" s="7" t="s">
        <v>62</v>
      </c>
    </row>
    <row r="724" spans="1:25" ht="50" customHeight="1" x14ac:dyDescent="0.25">
      <c r="A724" s="5" t="s">
        <v>2155</v>
      </c>
      <c r="B724" s="5" t="s">
        <v>3258</v>
      </c>
      <c r="C724" s="5" t="s">
        <v>3259</v>
      </c>
      <c r="D724" s="5"/>
      <c r="E724" s="6" t="s">
        <v>2158</v>
      </c>
      <c r="F724" s="6" t="s">
        <v>3260</v>
      </c>
      <c r="G724" s="5" t="s">
        <v>3260</v>
      </c>
      <c r="H724" s="7">
        <v>32</v>
      </c>
      <c r="I724" s="7">
        <v>17.489999999999998</v>
      </c>
      <c r="J724" s="7" t="s">
        <v>58</v>
      </c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 t="s">
        <v>59</v>
      </c>
      <c r="V724" s="7" t="s">
        <v>60</v>
      </c>
      <c r="W724" s="7" t="s">
        <v>61</v>
      </c>
      <c r="X724" s="5" t="str">
        <f ca="1">IF(INDIRECT("W724")="Clássico","13%",IF(INDIRECT("W724")="Premium","17%","-"))</f>
        <v>13%</v>
      </c>
      <c r="Y724" s="7" t="s">
        <v>62</v>
      </c>
    </row>
    <row r="725" spans="1:25" ht="50" customHeight="1" x14ac:dyDescent="0.25">
      <c r="A725" s="5" t="s">
        <v>2110</v>
      </c>
      <c r="B725" s="5" t="s">
        <v>3261</v>
      </c>
      <c r="C725" s="5" t="s">
        <v>2112</v>
      </c>
      <c r="D725" s="5"/>
      <c r="E725" s="6" t="s">
        <v>2113</v>
      </c>
      <c r="F725" s="6" t="s">
        <v>2114</v>
      </c>
      <c r="G725" s="5" t="s">
        <v>2114</v>
      </c>
      <c r="H725" s="7">
        <v>12</v>
      </c>
      <c r="I725" s="7">
        <v>30.49</v>
      </c>
      <c r="J725" s="7" t="s">
        <v>58</v>
      </c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 t="s">
        <v>59</v>
      </c>
      <c r="V725" s="7" t="s">
        <v>60</v>
      </c>
      <c r="W725" s="7" t="s">
        <v>84</v>
      </c>
      <c r="X725" s="5" t="str">
        <f ca="1">IF(INDIRECT("W725")="Clássico","13%",IF(INDIRECT("W725")="Premium","17%","-"))</f>
        <v>17%</v>
      </c>
      <c r="Y725" s="7" t="s">
        <v>62</v>
      </c>
    </row>
    <row r="726" spans="1:25" ht="50" customHeight="1" x14ac:dyDescent="0.25">
      <c r="A726" s="5" t="s">
        <v>3262</v>
      </c>
      <c r="B726" s="5" t="s">
        <v>3263</v>
      </c>
      <c r="C726" s="5" t="s">
        <v>3264</v>
      </c>
      <c r="D726" s="5"/>
      <c r="E726" s="6" t="s">
        <v>3265</v>
      </c>
      <c r="F726" s="6" t="s">
        <v>3266</v>
      </c>
      <c r="G726" s="5" t="s">
        <v>3266</v>
      </c>
      <c r="H726" s="7">
        <v>6</v>
      </c>
      <c r="I726" s="7">
        <v>24.99</v>
      </c>
      <c r="J726" s="7" t="s">
        <v>58</v>
      </c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 t="s">
        <v>59</v>
      </c>
      <c r="V726" s="7" t="s">
        <v>60</v>
      </c>
      <c r="W726" s="7" t="s">
        <v>61</v>
      </c>
      <c r="X726" s="5" t="str">
        <f ca="1">IF(INDIRECT("W726")="Clássico","13%",IF(INDIRECT("W726")="Premium","17%","-"))</f>
        <v>13%</v>
      </c>
      <c r="Y726" s="7" t="s">
        <v>62</v>
      </c>
    </row>
    <row r="727" spans="1:25" ht="50" customHeight="1" x14ac:dyDescent="0.25">
      <c r="A727" s="5" t="s">
        <v>3267</v>
      </c>
      <c r="B727" s="5" t="s">
        <v>3268</v>
      </c>
      <c r="C727" s="5" t="s">
        <v>3269</v>
      </c>
      <c r="D727" s="5"/>
      <c r="E727" s="6" t="s">
        <v>3270</v>
      </c>
      <c r="F727" s="6" t="s">
        <v>3271</v>
      </c>
      <c r="G727" s="5" t="s">
        <v>3271</v>
      </c>
      <c r="H727" s="7">
        <v>12</v>
      </c>
      <c r="I727" s="7">
        <v>18.739999999999998</v>
      </c>
      <c r="J727" s="7" t="s">
        <v>58</v>
      </c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 t="s">
        <v>59</v>
      </c>
      <c r="V727" s="7" t="s">
        <v>60</v>
      </c>
      <c r="W727" s="7" t="s">
        <v>61</v>
      </c>
      <c r="X727" s="5" t="str">
        <f ca="1">IF(INDIRECT("W727")="Clássico","13%",IF(INDIRECT("W727")="Premium","17%","-"))</f>
        <v>13%</v>
      </c>
      <c r="Y727" s="7" t="s">
        <v>62</v>
      </c>
    </row>
    <row r="728" spans="1:25" ht="50" customHeight="1" x14ac:dyDescent="0.25">
      <c r="A728" s="5" t="s">
        <v>3004</v>
      </c>
      <c r="B728" s="5" t="s">
        <v>3272</v>
      </c>
      <c r="C728" s="5" t="s">
        <v>3006</v>
      </c>
      <c r="D728" s="5"/>
      <c r="E728" s="6" t="s">
        <v>3007</v>
      </c>
      <c r="F728" s="6" t="s">
        <v>3008</v>
      </c>
      <c r="G728" s="5" t="s">
        <v>1993</v>
      </c>
      <c r="H728" s="7">
        <v>10</v>
      </c>
      <c r="I728" s="7">
        <v>17.489999999999998</v>
      </c>
      <c r="J728" s="7" t="s">
        <v>58</v>
      </c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 t="s">
        <v>59</v>
      </c>
      <c r="V728" s="7" t="s">
        <v>60</v>
      </c>
      <c r="W728" s="7" t="s">
        <v>84</v>
      </c>
      <c r="X728" s="5" t="str">
        <f ca="1">IF(INDIRECT("W728")="Clássico","13%",IF(INDIRECT("W728")="Premium","17%","-"))</f>
        <v>17%</v>
      </c>
      <c r="Y728" s="7" t="s">
        <v>62</v>
      </c>
    </row>
    <row r="729" spans="1:25" ht="50" customHeight="1" x14ac:dyDescent="0.25">
      <c r="A729" s="5" t="s">
        <v>1132</v>
      </c>
      <c r="B729" s="5" t="s">
        <v>3273</v>
      </c>
      <c r="C729" s="5" t="s">
        <v>3274</v>
      </c>
      <c r="D729" s="5"/>
      <c r="E729" s="6" t="s">
        <v>1135</v>
      </c>
      <c r="F729" s="6" t="s">
        <v>3275</v>
      </c>
      <c r="G729" s="5" t="s">
        <v>3275</v>
      </c>
      <c r="H729" s="7">
        <v>36</v>
      </c>
      <c r="I729" s="7">
        <v>21.24</v>
      </c>
      <c r="J729" s="7" t="s">
        <v>58</v>
      </c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 t="s">
        <v>59</v>
      </c>
      <c r="V729" s="7" t="s">
        <v>60</v>
      </c>
      <c r="W729" s="7" t="s">
        <v>61</v>
      </c>
      <c r="X729" s="5" t="str">
        <f ca="1">IF(INDIRECT("W729")="Clássico","13%",IF(INDIRECT("W729")="Premium","17%","-"))</f>
        <v>13%</v>
      </c>
      <c r="Y729" s="7" t="s">
        <v>62</v>
      </c>
    </row>
    <row r="730" spans="1:25" ht="50" customHeight="1" x14ac:dyDescent="0.25">
      <c r="A730" s="5" t="s">
        <v>700</v>
      </c>
      <c r="B730" s="5" t="s">
        <v>3276</v>
      </c>
      <c r="C730" s="5" t="s">
        <v>3277</v>
      </c>
      <c r="D730" s="5"/>
      <c r="E730" s="6" t="s">
        <v>703</v>
      </c>
      <c r="F730" s="6" t="s">
        <v>3278</v>
      </c>
      <c r="G730" s="5" t="s">
        <v>3278</v>
      </c>
      <c r="H730" s="7">
        <v>18</v>
      </c>
      <c r="I730" s="7">
        <v>21.24</v>
      </c>
      <c r="J730" s="7" t="s">
        <v>58</v>
      </c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 t="s">
        <v>59</v>
      </c>
      <c r="V730" s="7" t="s">
        <v>60</v>
      </c>
      <c r="W730" s="7" t="s">
        <v>84</v>
      </c>
      <c r="X730" s="5" t="str">
        <f ca="1">IF(INDIRECT("W730")="Clássico","13%",IF(INDIRECT("W730")="Premium","17%","-"))</f>
        <v>17%</v>
      </c>
      <c r="Y730" s="7" t="s">
        <v>62</v>
      </c>
    </row>
    <row r="731" spans="1:25" ht="50" customHeight="1" x14ac:dyDescent="0.25">
      <c r="A731" s="5" t="s">
        <v>1106</v>
      </c>
      <c r="B731" s="5" t="s">
        <v>3279</v>
      </c>
      <c r="C731" s="5" t="s">
        <v>1108</v>
      </c>
      <c r="D731" s="5"/>
      <c r="E731" s="6" t="s">
        <v>1109</v>
      </c>
      <c r="F731" s="6" t="s">
        <v>1110</v>
      </c>
      <c r="G731" s="5" t="s">
        <v>1110</v>
      </c>
      <c r="H731" s="7">
        <v>36</v>
      </c>
      <c r="I731" s="7">
        <v>21.24</v>
      </c>
      <c r="J731" s="7" t="s">
        <v>58</v>
      </c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 t="s">
        <v>59</v>
      </c>
      <c r="V731" s="7" t="s">
        <v>60</v>
      </c>
      <c r="W731" s="7" t="s">
        <v>84</v>
      </c>
      <c r="X731" s="5" t="str">
        <f ca="1">IF(INDIRECT("W731")="Clássico","13%",IF(INDIRECT("W731")="Premium","17%","-"))</f>
        <v>17%</v>
      </c>
      <c r="Y731" s="7" t="s">
        <v>62</v>
      </c>
    </row>
    <row r="732" spans="1:25" ht="50" customHeight="1" x14ac:dyDescent="0.25">
      <c r="A732" s="5" t="s">
        <v>3280</v>
      </c>
      <c r="B732" s="5" t="s">
        <v>3281</v>
      </c>
      <c r="C732" s="5" t="s">
        <v>3282</v>
      </c>
      <c r="D732" s="5"/>
      <c r="E732" s="6" t="s">
        <v>3283</v>
      </c>
      <c r="F732" s="6" t="s">
        <v>3284</v>
      </c>
      <c r="G732" s="5" t="s">
        <v>1677</v>
      </c>
      <c r="H732" s="7">
        <v>2</v>
      </c>
      <c r="I732" s="7">
        <v>36.9</v>
      </c>
      <c r="J732" s="7" t="s">
        <v>58</v>
      </c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 t="s">
        <v>59</v>
      </c>
      <c r="V732" s="7" t="s">
        <v>60</v>
      </c>
      <c r="W732" s="7" t="s">
        <v>84</v>
      </c>
      <c r="X732" s="5" t="str">
        <f ca="1">IF(INDIRECT("W732")="Clássico","13%",IF(INDIRECT("W732")="Premium","17%","-"))</f>
        <v>17%</v>
      </c>
      <c r="Y732" s="7" t="s">
        <v>62</v>
      </c>
    </row>
    <row r="733" spans="1:25" ht="50" customHeight="1" x14ac:dyDescent="0.25">
      <c r="A733" s="5" t="s">
        <v>3285</v>
      </c>
      <c r="B733" s="5" t="s">
        <v>3286</v>
      </c>
      <c r="C733" s="5" t="s">
        <v>3287</v>
      </c>
      <c r="D733" s="5"/>
      <c r="E733" s="6" t="s">
        <v>2118</v>
      </c>
      <c r="F733" s="6" t="s">
        <v>2119</v>
      </c>
      <c r="G733" s="5" t="s">
        <v>2119</v>
      </c>
      <c r="H733" s="7">
        <v>11</v>
      </c>
      <c r="I733" s="7">
        <v>30.49</v>
      </c>
      <c r="J733" s="7" t="s">
        <v>58</v>
      </c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 t="s">
        <v>59</v>
      </c>
      <c r="V733" s="7" t="s">
        <v>60</v>
      </c>
      <c r="W733" s="7" t="s">
        <v>84</v>
      </c>
      <c r="X733" s="5" t="str">
        <f ca="1">IF(INDIRECT("W733")="Clássico","13%",IF(INDIRECT("W733")="Premium","17%","-"))</f>
        <v>17%</v>
      </c>
      <c r="Y733" s="7" t="s">
        <v>62</v>
      </c>
    </row>
    <row r="734" spans="1:25" ht="50" customHeight="1" x14ac:dyDescent="0.25">
      <c r="A734" s="5" t="s">
        <v>1071</v>
      </c>
      <c r="B734" s="5" t="s">
        <v>3288</v>
      </c>
      <c r="C734" s="5" t="s">
        <v>3289</v>
      </c>
      <c r="D734" s="5"/>
      <c r="E734" s="6" t="s">
        <v>1074</v>
      </c>
      <c r="F734" s="6" t="s">
        <v>3290</v>
      </c>
      <c r="G734" s="5" t="s">
        <v>3290</v>
      </c>
      <c r="H734" s="7">
        <v>60</v>
      </c>
      <c r="I734" s="7">
        <v>16.239999999999998</v>
      </c>
      <c r="J734" s="7" t="s">
        <v>58</v>
      </c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 t="s">
        <v>59</v>
      </c>
      <c r="V734" s="7" t="s">
        <v>60</v>
      </c>
      <c r="W734" s="7" t="s">
        <v>61</v>
      </c>
      <c r="X734" s="5" t="str">
        <f ca="1">IF(INDIRECT("W734")="Clássico","13%",IF(INDIRECT("W734")="Premium","17%","-"))</f>
        <v>13%</v>
      </c>
      <c r="Y734" s="7" t="s">
        <v>62</v>
      </c>
    </row>
    <row r="735" spans="1:25" ht="50" customHeight="1" x14ac:dyDescent="0.25">
      <c r="A735" s="5" t="s">
        <v>2125</v>
      </c>
      <c r="B735" s="5" t="s">
        <v>3291</v>
      </c>
      <c r="C735" s="5" t="s">
        <v>3292</v>
      </c>
      <c r="D735" s="5"/>
      <c r="E735" s="6" t="s">
        <v>2128</v>
      </c>
      <c r="F735" s="6" t="s">
        <v>3293</v>
      </c>
      <c r="G735" s="5" t="s">
        <v>3293</v>
      </c>
      <c r="H735" s="7">
        <v>8</v>
      </c>
      <c r="I735" s="7">
        <v>17.489999999999998</v>
      </c>
      <c r="J735" s="7" t="s">
        <v>58</v>
      </c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 t="s">
        <v>59</v>
      </c>
      <c r="V735" s="7" t="s">
        <v>60</v>
      </c>
      <c r="W735" s="7" t="s">
        <v>84</v>
      </c>
      <c r="X735" s="5" t="str">
        <f ca="1">IF(INDIRECT("W735")="Clássico","13%",IF(INDIRECT("W735")="Premium","17%","-"))</f>
        <v>17%</v>
      </c>
      <c r="Y735" s="7" t="s">
        <v>62</v>
      </c>
    </row>
    <row r="736" spans="1:25" ht="50" customHeight="1" x14ac:dyDescent="0.25">
      <c r="A736" s="5" t="s">
        <v>3294</v>
      </c>
      <c r="B736" s="5" t="s">
        <v>3295</v>
      </c>
      <c r="C736" s="5" t="s">
        <v>3296</v>
      </c>
      <c r="D736" s="5"/>
      <c r="E736" s="6" t="s">
        <v>3297</v>
      </c>
      <c r="F736" s="6" t="s">
        <v>3298</v>
      </c>
      <c r="G736" s="5" t="s">
        <v>3298</v>
      </c>
      <c r="H736" s="7">
        <v>4</v>
      </c>
      <c r="I736" s="7">
        <v>25.99</v>
      </c>
      <c r="J736" s="7" t="s">
        <v>58</v>
      </c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 t="s">
        <v>59</v>
      </c>
      <c r="V736" s="7" t="s">
        <v>60</v>
      </c>
      <c r="W736" s="7" t="s">
        <v>84</v>
      </c>
      <c r="X736" s="5" t="str">
        <f ca="1">IF(INDIRECT("W736")="Clássico","13%",IF(INDIRECT("W736")="Premium","17%","-"))</f>
        <v>17%</v>
      </c>
      <c r="Y736" s="7" t="s">
        <v>62</v>
      </c>
    </row>
    <row r="737" spans="1:25" ht="50" customHeight="1" x14ac:dyDescent="0.25">
      <c r="A737" s="5" t="s">
        <v>3299</v>
      </c>
      <c r="B737" s="5" t="s">
        <v>3300</v>
      </c>
      <c r="C737" s="5" t="s">
        <v>3301</v>
      </c>
      <c r="D737" s="5"/>
      <c r="E737" s="6" t="s">
        <v>3302</v>
      </c>
      <c r="F737" s="6" t="s">
        <v>3303</v>
      </c>
      <c r="G737" s="5" t="s">
        <v>1677</v>
      </c>
      <c r="H737" s="7">
        <v>4</v>
      </c>
      <c r="I737" s="7">
        <v>36.9</v>
      </c>
      <c r="J737" s="7" t="s">
        <v>58</v>
      </c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 t="s">
        <v>59</v>
      </c>
      <c r="V737" s="7" t="s">
        <v>60</v>
      </c>
      <c r="W737" s="7" t="s">
        <v>84</v>
      </c>
      <c r="X737" s="5" t="str">
        <f ca="1">IF(INDIRECT("W737")="Clássico","13%",IF(INDIRECT("W737")="Premium","17%","-"))</f>
        <v>17%</v>
      </c>
      <c r="Y737" s="7" t="s">
        <v>62</v>
      </c>
    </row>
    <row r="738" spans="1:25" ht="50" customHeight="1" x14ac:dyDescent="0.25">
      <c r="A738" s="5" t="s">
        <v>3304</v>
      </c>
      <c r="B738" s="5" t="s">
        <v>3305</v>
      </c>
      <c r="C738" s="5" t="s">
        <v>3306</v>
      </c>
      <c r="D738" s="5"/>
      <c r="E738" s="6" t="s">
        <v>3307</v>
      </c>
      <c r="F738" s="6" t="s">
        <v>3308</v>
      </c>
      <c r="G738" s="5" t="s">
        <v>1677</v>
      </c>
      <c r="H738" s="7">
        <v>4</v>
      </c>
      <c r="I738" s="7">
        <v>27.99</v>
      </c>
      <c r="J738" s="7" t="s">
        <v>58</v>
      </c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 t="s">
        <v>59</v>
      </c>
      <c r="V738" s="7" t="s">
        <v>60</v>
      </c>
      <c r="W738" s="7" t="s">
        <v>84</v>
      </c>
      <c r="X738" s="5" t="str">
        <f ca="1">IF(INDIRECT("W738")="Clássico","13%",IF(INDIRECT("W738")="Premium","17%","-"))</f>
        <v>17%</v>
      </c>
      <c r="Y738" s="7" t="s">
        <v>62</v>
      </c>
    </row>
    <row r="739" spans="1:25" ht="50" customHeight="1" x14ac:dyDescent="0.25">
      <c r="A739" s="5" t="s">
        <v>3309</v>
      </c>
      <c r="B739" s="5" t="s">
        <v>3310</v>
      </c>
      <c r="C739" s="5" t="s">
        <v>3311</v>
      </c>
      <c r="D739" s="5"/>
      <c r="E739" s="6" t="s">
        <v>3312</v>
      </c>
      <c r="F739" s="6" t="s">
        <v>3313</v>
      </c>
      <c r="G739" s="5" t="s">
        <v>3313</v>
      </c>
      <c r="H739" s="7">
        <v>15</v>
      </c>
      <c r="I739" s="7">
        <v>24.99</v>
      </c>
      <c r="J739" s="7" t="s">
        <v>58</v>
      </c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 t="s">
        <v>59</v>
      </c>
      <c r="V739" s="7" t="s">
        <v>60</v>
      </c>
      <c r="W739" s="7" t="s">
        <v>61</v>
      </c>
      <c r="X739" s="5" t="str">
        <f ca="1">IF(INDIRECT("W739")="Clássico","13%",IF(INDIRECT("W739")="Premium","17%","-"))</f>
        <v>13%</v>
      </c>
      <c r="Y739" s="7" t="s">
        <v>62</v>
      </c>
    </row>
    <row r="740" spans="1:25" ht="50" customHeight="1" x14ac:dyDescent="0.25">
      <c r="A740" s="5" t="s">
        <v>3314</v>
      </c>
      <c r="B740" s="5" t="s">
        <v>3315</v>
      </c>
      <c r="C740" s="5" t="s">
        <v>3316</v>
      </c>
      <c r="D740" s="5"/>
      <c r="E740" s="6" t="s">
        <v>3317</v>
      </c>
      <c r="F740" s="6" t="s">
        <v>3318</v>
      </c>
      <c r="G740" s="5" t="s">
        <v>3318</v>
      </c>
      <c r="H740" s="7">
        <v>3</v>
      </c>
      <c r="I740" s="7">
        <v>33.49</v>
      </c>
      <c r="J740" s="7" t="s">
        <v>58</v>
      </c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 t="s">
        <v>59</v>
      </c>
      <c r="V740" s="7" t="s">
        <v>60</v>
      </c>
      <c r="W740" s="7" t="s">
        <v>61</v>
      </c>
      <c r="X740" s="5" t="str">
        <f ca="1">IF(INDIRECT("W740")="Clássico","13%",IF(INDIRECT("W740")="Premium","17%","-"))</f>
        <v>13%</v>
      </c>
      <c r="Y740" s="7" t="s">
        <v>62</v>
      </c>
    </row>
    <row r="741" spans="1:25" ht="50" customHeight="1" x14ac:dyDescent="0.25">
      <c r="A741" s="5" t="s">
        <v>2105</v>
      </c>
      <c r="B741" s="5" t="s">
        <v>3319</v>
      </c>
      <c r="C741" s="5" t="s">
        <v>3320</v>
      </c>
      <c r="D741" s="5"/>
      <c r="E741" s="6" t="s">
        <v>2108</v>
      </c>
      <c r="F741" s="6" t="s">
        <v>3321</v>
      </c>
      <c r="G741" s="5" t="s">
        <v>3321</v>
      </c>
      <c r="H741" s="7">
        <v>22</v>
      </c>
      <c r="I741" s="7">
        <v>23.74</v>
      </c>
      <c r="J741" s="7" t="s">
        <v>58</v>
      </c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 t="s">
        <v>59</v>
      </c>
      <c r="V741" s="7" t="s">
        <v>60</v>
      </c>
      <c r="W741" s="7" t="s">
        <v>84</v>
      </c>
      <c r="X741" s="5" t="str">
        <f ca="1">IF(INDIRECT("W741")="Clássico","13%",IF(INDIRECT("W741")="Premium","17%","-"))</f>
        <v>17%</v>
      </c>
      <c r="Y741" s="7" t="s">
        <v>62</v>
      </c>
    </row>
    <row r="742" spans="1:25" ht="50" customHeight="1" x14ac:dyDescent="0.25">
      <c r="A742" s="5" t="s">
        <v>2813</v>
      </c>
      <c r="B742" s="5" t="s">
        <v>3322</v>
      </c>
      <c r="C742" s="5" t="s">
        <v>3323</v>
      </c>
      <c r="D742" s="5"/>
      <c r="E742" s="6" t="s">
        <v>2816</v>
      </c>
      <c r="F742" s="6" t="s">
        <v>2817</v>
      </c>
      <c r="G742" s="5" t="s">
        <v>2817</v>
      </c>
      <c r="H742" s="7">
        <v>18</v>
      </c>
      <c r="I742" s="7">
        <v>21.24</v>
      </c>
      <c r="J742" s="7" t="s">
        <v>58</v>
      </c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 t="s">
        <v>59</v>
      </c>
      <c r="V742" s="7" t="s">
        <v>60</v>
      </c>
      <c r="W742" s="7" t="s">
        <v>84</v>
      </c>
      <c r="X742" s="5" t="str">
        <f ca="1">IF(INDIRECT("W742")="Clássico","13%",IF(INDIRECT("W742")="Premium","17%","-"))</f>
        <v>17%</v>
      </c>
      <c r="Y742" s="7" t="s">
        <v>62</v>
      </c>
    </row>
    <row r="743" spans="1:25" ht="50" customHeight="1" x14ac:dyDescent="0.25">
      <c r="A743" s="5" t="s">
        <v>3324</v>
      </c>
      <c r="B743" s="5" t="s">
        <v>3325</v>
      </c>
      <c r="C743" s="5" t="s">
        <v>3326</v>
      </c>
      <c r="D743" s="5"/>
      <c r="E743" s="6" t="s">
        <v>3327</v>
      </c>
      <c r="F743" s="6" t="s">
        <v>3328</v>
      </c>
      <c r="G743" s="5" t="s">
        <v>3328</v>
      </c>
      <c r="H743" s="7">
        <v>18</v>
      </c>
      <c r="I743" s="7">
        <v>21.24</v>
      </c>
      <c r="J743" s="7" t="s">
        <v>58</v>
      </c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 t="s">
        <v>59</v>
      </c>
      <c r="V743" s="7" t="s">
        <v>60</v>
      </c>
      <c r="W743" s="7" t="s">
        <v>61</v>
      </c>
      <c r="X743" s="5" t="str">
        <f ca="1">IF(INDIRECT("W743")="Clássico","13%",IF(INDIRECT("W743")="Premium","17%","-"))</f>
        <v>13%</v>
      </c>
      <c r="Y743" s="7" t="s">
        <v>62</v>
      </c>
    </row>
    <row r="744" spans="1:25" ht="50" customHeight="1" x14ac:dyDescent="0.25">
      <c r="A744" s="5" t="s">
        <v>1780</v>
      </c>
      <c r="B744" s="5" t="s">
        <v>3329</v>
      </c>
      <c r="C744" s="5" t="s">
        <v>1782</v>
      </c>
      <c r="D744" s="5"/>
      <c r="E744" s="6" t="s">
        <v>472</v>
      </c>
      <c r="F744" s="6" t="s">
        <v>3330</v>
      </c>
      <c r="G744" s="5" t="s">
        <v>3330</v>
      </c>
      <c r="H744" s="7">
        <v>22</v>
      </c>
      <c r="I744" s="7">
        <v>23.61</v>
      </c>
      <c r="J744" s="7" t="s">
        <v>58</v>
      </c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 t="s">
        <v>59</v>
      </c>
      <c r="V744" s="7" t="s">
        <v>60</v>
      </c>
      <c r="W744" s="7" t="s">
        <v>84</v>
      </c>
      <c r="X744" s="5" t="str">
        <f ca="1">IF(INDIRECT("W744")="Clássico","13%",IF(INDIRECT("W744")="Premium","17%","-"))</f>
        <v>17%</v>
      </c>
      <c r="Y744" s="7" t="s">
        <v>62</v>
      </c>
    </row>
    <row r="745" spans="1:25" ht="50" customHeight="1" x14ac:dyDescent="0.25">
      <c r="A745" s="5" t="s">
        <v>3331</v>
      </c>
      <c r="B745" s="5" t="s">
        <v>3332</v>
      </c>
      <c r="C745" s="5" t="s">
        <v>3333</v>
      </c>
      <c r="D745" s="5"/>
      <c r="E745" s="6" t="s">
        <v>3334</v>
      </c>
      <c r="F745" s="6" t="s">
        <v>3335</v>
      </c>
      <c r="G745" s="5" t="s">
        <v>3335</v>
      </c>
      <c r="H745" s="7">
        <v>12</v>
      </c>
      <c r="I745" s="7">
        <v>29.69</v>
      </c>
      <c r="J745" s="7" t="s">
        <v>58</v>
      </c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 t="s">
        <v>59</v>
      </c>
      <c r="V745" s="7" t="s">
        <v>60</v>
      </c>
      <c r="W745" s="7" t="s">
        <v>61</v>
      </c>
      <c r="X745" s="5" t="str">
        <f ca="1">IF(INDIRECT("W745")="Clássico","13%",IF(INDIRECT("W745")="Premium","17%","-"))</f>
        <v>13%</v>
      </c>
      <c r="Y745" s="7" t="s">
        <v>62</v>
      </c>
    </row>
    <row r="746" spans="1:25" ht="50" customHeight="1" x14ac:dyDescent="0.25">
      <c r="A746" s="5" t="s">
        <v>1384</v>
      </c>
      <c r="B746" s="5" t="s">
        <v>3336</v>
      </c>
      <c r="C746" s="5" t="s">
        <v>1386</v>
      </c>
      <c r="D746" s="5"/>
      <c r="E746" s="6" t="s">
        <v>1387</v>
      </c>
      <c r="F746" s="6" t="s">
        <v>3337</v>
      </c>
      <c r="G746" s="5" t="s">
        <v>3337</v>
      </c>
      <c r="H746" s="7">
        <v>12</v>
      </c>
      <c r="I746" s="7">
        <v>21.24</v>
      </c>
      <c r="J746" s="7" t="s">
        <v>58</v>
      </c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 t="s">
        <v>59</v>
      </c>
      <c r="V746" s="7" t="s">
        <v>60</v>
      </c>
      <c r="W746" s="7" t="s">
        <v>61</v>
      </c>
      <c r="X746" s="5" t="str">
        <f ca="1">IF(INDIRECT("W746")="Clássico","12%",IF(INDIRECT("W746")="Premium","17%","-"))</f>
        <v>12%</v>
      </c>
      <c r="Y746" s="7" t="s">
        <v>62</v>
      </c>
    </row>
    <row r="747" spans="1:25" ht="50" customHeight="1" x14ac:dyDescent="0.25">
      <c r="A747" s="5" t="s">
        <v>3338</v>
      </c>
      <c r="B747" s="5" t="s">
        <v>3339</v>
      </c>
      <c r="C747" s="5" t="s">
        <v>3340</v>
      </c>
      <c r="D747" s="5"/>
      <c r="E747" s="6" t="s">
        <v>3341</v>
      </c>
      <c r="F747" s="6" t="s">
        <v>3342</v>
      </c>
      <c r="G747" s="5" t="s">
        <v>3342</v>
      </c>
      <c r="H747" s="7">
        <v>36</v>
      </c>
      <c r="I747" s="7">
        <v>18.739999999999998</v>
      </c>
      <c r="J747" s="7" t="s">
        <v>58</v>
      </c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 t="s">
        <v>59</v>
      </c>
      <c r="V747" s="7" t="s">
        <v>60</v>
      </c>
      <c r="W747" s="7" t="s">
        <v>84</v>
      </c>
      <c r="X747" s="5" t="str">
        <f ca="1">IF(INDIRECT("W747")="Clássico","13%",IF(INDIRECT("W747")="Premium","17%","-"))</f>
        <v>17%</v>
      </c>
      <c r="Y747" s="7" t="s">
        <v>62</v>
      </c>
    </row>
    <row r="748" spans="1:25" ht="50" customHeight="1" x14ac:dyDescent="0.25">
      <c r="A748" s="5" t="s">
        <v>3343</v>
      </c>
      <c r="B748" s="5" t="s">
        <v>3344</v>
      </c>
      <c r="C748" s="5" t="s">
        <v>3345</v>
      </c>
      <c r="D748" s="5"/>
      <c r="E748" s="6" t="s">
        <v>3346</v>
      </c>
      <c r="F748" s="6" t="s">
        <v>3347</v>
      </c>
      <c r="G748" s="5" t="s">
        <v>3347</v>
      </c>
      <c r="H748" s="7">
        <v>46</v>
      </c>
      <c r="I748" s="7">
        <v>21.24</v>
      </c>
      <c r="J748" s="7" t="s">
        <v>58</v>
      </c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 t="s">
        <v>59</v>
      </c>
      <c r="V748" s="7" t="s">
        <v>60</v>
      </c>
      <c r="W748" s="7" t="s">
        <v>61</v>
      </c>
      <c r="X748" s="5" t="str">
        <f ca="1">IF(INDIRECT("W748")="Clássico","13%",IF(INDIRECT("W748")="Premium","17%","-"))</f>
        <v>13%</v>
      </c>
      <c r="Y748" s="7" t="s">
        <v>62</v>
      </c>
    </row>
    <row r="749" spans="1:25" ht="50" customHeight="1" x14ac:dyDescent="0.25">
      <c r="A749" s="5" t="s">
        <v>3348</v>
      </c>
      <c r="B749" s="5" t="s">
        <v>3349</v>
      </c>
      <c r="C749" s="5" t="s">
        <v>3350</v>
      </c>
      <c r="D749" s="5"/>
      <c r="E749" s="6" t="s">
        <v>3351</v>
      </c>
      <c r="F749" s="6" t="s">
        <v>3352</v>
      </c>
      <c r="G749" s="5" t="s">
        <v>3352</v>
      </c>
      <c r="H749" s="7">
        <v>24</v>
      </c>
      <c r="I749" s="7">
        <v>22.49</v>
      </c>
      <c r="J749" s="7" t="s">
        <v>58</v>
      </c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 t="s">
        <v>59</v>
      </c>
      <c r="V749" s="7" t="s">
        <v>60</v>
      </c>
      <c r="W749" s="7" t="s">
        <v>84</v>
      </c>
      <c r="X749" s="5" t="str">
        <f ca="1">IF(INDIRECT("W749")="Clássico","13%",IF(INDIRECT("W749")="Premium","17%","-"))</f>
        <v>17%</v>
      </c>
      <c r="Y749" s="7" t="s">
        <v>62</v>
      </c>
    </row>
    <row r="750" spans="1:25" ht="50" customHeight="1" x14ac:dyDescent="0.25">
      <c r="A750" s="5" t="s">
        <v>3353</v>
      </c>
      <c r="B750" s="5" t="s">
        <v>3354</v>
      </c>
      <c r="C750" s="5" t="s">
        <v>3355</v>
      </c>
      <c r="D750" s="5"/>
      <c r="E750" s="6" t="s">
        <v>3356</v>
      </c>
      <c r="F750" s="6" t="s">
        <v>3357</v>
      </c>
      <c r="G750" s="5" t="s">
        <v>3357</v>
      </c>
      <c r="H750" s="7">
        <v>5</v>
      </c>
      <c r="I750" s="7">
        <v>24.13</v>
      </c>
      <c r="J750" s="7" t="s">
        <v>58</v>
      </c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 t="s">
        <v>59</v>
      </c>
      <c r="V750" s="7" t="s">
        <v>60</v>
      </c>
      <c r="W750" s="7" t="s">
        <v>61</v>
      </c>
      <c r="X750" s="5" t="str">
        <f ca="1">IF(INDIRECT("W750")="Clássico","13%",IF(INDIRECT("W750")="Premium","17%","-"))</f>
        <v>13%</v>
      </c>
      <c r="Y750" s="7" t="s">
        <v>62</v>
      </c>
    </row>
    <row r="751" spans="1:25" ht="50" customHeight="1" x14ac:dyDescent="0.25">
      <c r="A751" s="5" t="s">
        <v>3358</v>
      </c>
      <c r="B751" s="5" t="s">
        <v>3359</v>
      </c>
      <c r="C751" s="5" t="s">
        <v>3360</v>
      </c>
      <c r="D751" s="5"/>
      <c r="E751" s="6" t="s">
        <v>3361</v>
      </c>
      <c r="F751" s="6" t="s">
        <v>3362</v>
      </c>
      <c r="G751" s="5" t="s">
        <v>3362</v>
      </c>
      <c r="H751" s="7">
        <v>40</v>
      </c>
      <c r="I751" s="7">
        <v>26.75</v>
      </c>
      <c r="J751" s="7" t="s">
        <v>58</v>
      </c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 t="s">
        <v>59</v>
      </c>
      <c r="V751" s="7" t="s">
        <v>60</v>
      </c>
      <c r="W751" s="7" t="s">
        <v>61</v>
      </c>
      <c r="X751" s="5" t="str">
        <f ca="1">IF(INDIRECT("W751")="Clássico","13%",IF(INDIRECT("W751")="Premium","17%","-"))</f>
        <v>13%</v>
      </c>
      <c r="Y751" s="7" t="s">
        <v>62</v>
      </c>
    </row>
    <row r="752" spans="1:25" ht="50" customHeight="1" x14ac:dyDescent="0.25">
      <c r="A752" s="5" t="s">
        <v>3363</v>
      </c>
      <c r="B752" s="5" t="s">
        <v>3364</v>
      </c>
      <c r="C752" s="5" t="s">
        <v>3365</v>
      </c>
      <c r="D752" s="5"/>
      <c r="E752" s="6" t="s">
        <v>3366</v>
      </c>
      <c r="F752" s="6" t="s">
        <v>3367</v>
      </c>
      <c r="G752" s="5" t="s">
        <v>3367</v>
      </c>
      <c r="H752" s="7">
        <v>498</v>
      </c>
      <c r="I752" s="7">
        <v>21.24</v>
      </c>
      <c r="J752" s="7" t="s">
        <v>58</v>
      </c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 t="s">
        <v>59</v>
      </c>
      <c r="V752" s="7" t="s">
        <v>60</v>
      </c>
      <c r="W752" s="7" t="s">
        <v>84</v>
      </c>
      <c r="X752" s="5" t="str">
        <f ca="1">IF(INDIRECT("W752")="Clássico","12%",IF(INDIRECT("W752")="Premium","17%","-"))</f>
        <v>17%</v>
      </c>
      <c r="Y752" s="7" t="s">
        <v>62</v>
      </c>
    </row>
    <row r="753" spans="1:25" ht="50" customHeight="1" x14ac:dyDescent="0.25">
      <c r="A753" s="5" t="s">
        <v>3368</v>
      </c>
      <c r="B753" s="5" t="s">
        <v>3369</v>
      </c>
      <c r="C753" s="5" t="s">
        <v>3370</v>
      </c>
      <c r="D753" s="5"/>
      <c r="E753" s="6" t="s">
        <v>2736</v>
      </c>
      <c r="F753" s="6" t="s">
        <v>2737</v>
      </c>
      <c r="G753" s="5" t="s">
        <v>2737</v>
      </c>
      <c r="H753" s="7">
        <v>12</v>
      </c>
      <c r="I753" s="7">
        <v>24.13</v>
      </c>
      <c r="J753" s="7" t="s">
        <v>58</v>
      </c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 t="s">
        <v>59</v>
      </c>
      <c r="V753" s="7" t="s">
        <v>60</v>
      </c>
      <c r="W753" s="7" t="s">
        <v>84</v>
      </c>
      <c r="X753" s="5" t="str">
        <f ca="1">IF(INDIRECT("W753")="Clássico","13%",IF(INDIRECT("W753")="Premium","17%","-"))</f>
        <v>17%</v>
      </c>
      <c r="Y753" s="7" t="s">
        <v>62</v>
      </c>
    </row>
    <row r="754" spans="1:25" ht="50" customHeight="1" x14ac:dyDescent="0.25">
      <c r="A754" s="5" t="s">
        <v>3371</v>
      </c>
      <c r="B754" s="5" t="s">
        <v>3372</v>
      </c>
      <c r="C754" s="5" t="s">
        <v>3373</v>
      </c>
      <c r="D754" s="5"/>
      <c r="E754" s="6" t="s">
        <v>3374</v>
      </c>
      <c r="F754" s="6" t="s">
        <v>3375</v>
      </c>
      <c r="G754" s="5" t="s">
        <v>3375</v>
      </c>
      <c r="H754" s="7">
        <v>12</v>
      </c>
      <c r="I754" s="7">
        <v>34.380000000000003</v>
      </c>
      <c r="J754" s="7" t="s">
        <v>58</v>
      </c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 t="s">
        <v>59</v>
      </c>
      <c r="V754" s="7" t="s">
        <v>60</v>
      </c>
      <c r="W754" s="7" t="s">
        <v>61</v>
      </c>
      <c r="X754" s="5" t="str">
        <f ca="1">IF(INDIRECT("W754")="Clássico","13%",IF(INDIRECT("W754")="Premium","17%","-"))</f>
        <v>13%</v>
      </c>
      <c r="Y754" s="7" t="s">
        <v>62</v>
      </c>
    </row>
    <row r="755" spans="1:25" ht="50" customHeight="1" x14ac:dyDescent="0.25">
      <c r="A755" s="5" t="s">
        <v>3376</v>
      </c>
      <c r="B755" s="5" t="s">
        <v>3377</v>
      </c>
      <c r="C755" s="5" t="s">
        <v>3378</v>
      </c>
      <c r="D755" s="5"/>
      <c r="E755" s="6" t="s">
        <v>1145</v>
      </c>
      <c r="F755" s="6" t="s">
        <v>3379</v>
      </c>
      <c r="G755" s="5" t="s">
        <v>3379</v>
      </c>
      <c r="H755" s="7">
        <v>36</v>
      </c>
      <c r="I755" s="7">
        <v>22.25</v>
      </c>
      <c r="J755" s="7" t="s">
        <v>58</v>
      </c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 t="s">
        <v>59</v>
      </c>
      <c r="V755" s="7" t="s">
        <v>60</v>
      </c>
      <c r="W755" s="7" t="s">
        <v>61</v>
      </c>
      <c r="X755" s="5" t="str">
        <f ca="1">IF(INDIRECT("W755")="Clássico","13%",IF(INDIRECT("W755")="Premium","17%","-"))</f>
        <v>13%</v>
      </c>
      <c r="Y755" s="7" t="s">
        <v>62</v>
      </c>
    </row>
    <row r="756" spans="1:25" ht="50" customHeight="1" x14ac:dyDescent="0.25">
      <c r="A756" s="5" t="s">
        <v>3380</v>
      </c>
      <c r="B756" s="5" t="s">
        <v>3381</v>
      </c>
      <c r="C756" s="5" t="s">
        <v>3382</v>
      </c>
      <c r="D756" s="5"/>
      <c r="E756" s="6" t="s">
        <v>3383</v>
      </c>
      <c r="F756" s="6" t="s">
        <v>3384</v>
      </c>
      <c r="G756" s="5" t="s">
        <v>3384</v>
      </c>
      <c r="H756" s="7">
        <v>58</v>
      </c>
      <c r="I756" s="7">
        <v>22.25</v>
      </c>
      <c r="J756" s="7" t="s">
        <v>58</v>
      </c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 t="s">
        <v>59</v>
      </c>
      <c r="V756" s="7" t="s">
        <v>60</v>
      </c>
      <c r="W756" s="7" t="s">
        <v>61</v>
      </c>
      <c r="X756" s="5" t="str">
        <f ca="1">IF(INDIRECT("W756")="Clássico","13%",IF(INDIRECT("W756")="Premium","17%","-"))</f>
        <v>13%</v>
      </c>
      <c r="Y756" s="7" t="s">
        <v>62</v>
      </c>
    </row>
    <row r="757" spans="1:25" ht="50" customHeight="1" x14ac:dyDescent="0.25">
      <c r="A757" s="5" t="s">
        <v>2553</v>
      </c>
      <c r="B757" s="5" t="s">
        <v>3385</v>
      </c>
      <c r="C757" s="5" t="s">
        <v>3386</v>
      </c>
      <c r="D757" s="5"/>
      <c r="E757" s="6" t="s">
        <v>2556</v>
      </c>
      <c r="F757" s="6" t="s">
        <v>3387</v>
      </c>
      <c r="G757" s="5" t="s">
        <v>3387</v>
      </c>
      <c r="H757" s="7">
        <v>120</v>
      </c>
      <c r="I757" s="7">
        <v>139.99</v>
      </c>
      <c r="J757" s="7" t="s">
        <v>58</v>
      </c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 t="s">
        <v>59</v>
      </c>
      <c r="V757" s="7" t="s">
        <v>129</v>
      </c>
      <c r="W757" s="7" t="s">
        <v>61</v>
      </c>
      <c r="X757" s="5" t="str">
        <f ca="1">IF(INDIRECT("W757")="Clássico","14%",IF(INDIRECT("W757")="Premium","19%","-"))</f>
        <v>14%</v>
      </c>
      <c r="Y757" s="7" t="s">
        <v>62</v>
      </c>
    </row>
    <row r="758" spans="1:25" ht="50" customHeight="1" x14ac:dyDescent="0.25">
      <c r="A758" s="5" t="s">
        <v>2593</v>
      </c>
      <c r="B758" s="5" t="s">
        <v>3388</v>
      </c>
      <c r="C758" s="5" t="s">
        <v>3389</v>
      </c>
      <c r="D758" s="5"/>
      <c r="E758" s="6" t="s">
        <v>2596</v>
      </c>
      <c r="F758" s="6" t="s">
        <v>3390</v>
      </c>
      <c r="G758" s="5" t="s">
        <v>3390</v>
      </c>
      <c r="H758" s="7">
        <v>2</v>
      </c>
      <c r="I758" s="7">
        <v>34.380000000000003</v>
      </c>
      <c r="J758" s="7" t="s">
        <v>58</v>
      </c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 t="s">
        <v>59</v>
      </c>
      <c r="V758" s="7" t="s">
        <v>60</v>
      </c>
      <c r="W758" s="7" t="s">
        <v>84</v>
      </c>
      <c r="X758" s="5" t="str">
        <f ca="1">IF(INDIRECT("W758")="Clássico","13%",IF(INDIRECT("W758")="Premium","17%","-"))</f>
        <v>17%</v>
      </c>
      <c r="Y758" s="7" t="s">
        <v>62</v>
      </c>
    </row>
    <row r="759" spans="1:25" ht="50" customHeight="1" x14ac:dyDescent="0.25">
      <c r="A759" s="5" t="s">
        <v>1147</v>
      </c>
      <c r="B759" s="5" t="s">
        <v>3391</v>
      </c>
      <c r="C759" s="5" t="s">
        <v>3392</v>
      </c>
      <c r="D759" s="5"/>
      <c r="E759" s="6" t="s">
        <v>1150</v>
      </c>
      <c r="F759" s="6" t="s">
        <v>3393</v>
      </c>
      <c r="G759" s="5" t="s">
        <v>3393</v>
      </c>
      <c r="H759" s="7">
        <v>12</v>
      </c>
      <c r="I759" s="7">
        <v>34.380000000000003</v>
      </c>
      <c r="J759" s="7" t="s">
        <v>58</v>
      </c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 t="s">
        <v>59</v>
      </c>
      <c r="V759" s="7" t="s">
        <v>60</v>
      </c>
      <c r="W759" s="7" t="s">
        <v>61</v>
      </c>
      <c r="X759" s="5" t="str">
        <f ca="1">IF(INDIRECT("W759")="Clássico","13%",IF(INDIRECT("W759")="Premium","17%","-"))</f>
        <v>13%</v>
      </c>
      <c r="Y759" s="7" t="s">
        <v>62</v>
      </c>
    </row>
    <row r="760" spans="1:25" ht="50" customHeight="1" x14ac:dyDescent="0.25">
      <c r="A760" s="5" t="s">
        <v>2335</v>
      </c>
      <c r="B760" s="5" t="s">
        <v>3394</v>
      </c>
      <c r="C760" s="5" t="s">
        <v>3395</v>
      </c>
      <c r="D760" s="5"/>
      <c r="E760" s="6" t="s">
        <v>2338</v>
      </c>
      <c r="F760" s="6" t="s">
        <v>3396</v>
      </c>
      <c r="G760" s="5" t="s">
        <v>3396</v>
      </c>
      <c r="H760" s="7">
        <v>29</v>
      </c>
      <c r="I760" s="7">
        <v>61.25</v>
      </c>
      <c r="J760" s="7" t="s">
        <v>58</v>
      </c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 t="s">
        <v>59</v>
      </c>
      <c r="V760" s="7" t="s">
        <v>60</v>
      </c>
      <c r="W760" s="7" t="s">
        <v>61</v>
      </c>
      <c r="X760" s="5" t="str">
        <f ca="1">IF(INDIRECT("W760")="Clássico","14%",IF(INDIRECT("W760")="Premium","19%","-"))</f>
        <v>14%</v>
      </c>
      <c r="Y760" s="7" t="s">
        <v>62</v>
      </c>
    </row>
    <row r="761" spans="1:25" ht="50" customHeight="1" x14ac:dyDescent="0.25">
      <c r="A761" s="5" t="s">
        <v>3397</v>
      </c>
      <c r="B761" s="5" t="s">
        <v>3398</v>
      </c>
      <c r="C761" s="5" t="s">
        <v>3399</v>
      </c>
      <c r="D761" s="5"/>
      <c r="E761" s="6" t="s">
        <v>3400</v>
      </c>
      <c r="F761" s="6" t="s">
        <v>3401</v>
      </c>
      <c r="G761" s="5" t="s">
        <v>3401</v>
      </c>
      <c r="H761" s="7">
        <v>60</v>
      </c>
      <c r="I761" s="7">
        <v>133.75</v>
      </c>
      <c r="J761" s="7" t="s">
        <v>58</v>
      </c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 t="s">
        <v>59</v>
      </c>
      <c r="V761" s="7" t="s">
        <v>129</v>
      </c>
      <c r="W761" s="7" t="s">
        <v>61</v>
      </c>
      <c r="X761" s="5" t="str">
        <f ca="1">IF(INDIRECT("W761")="Clássico","14%",IF(INDIRECT("W761")="Premium","19%","-"))</f>
        <v>14%</v>
      </c>
      <c r="Y761" s="7" t="s">
        <v>62</v>
      </c>
    </row>
    <row r="762" spans="1:25" ht="50" customHeight="1" x14ac:dyDescent="0.25">
      <c r="A762" s="5" t="s">
        <v>439</v>
      </c>
      <c r="B762" s="5" t="s">
        <v>3402</v>
      </c>
      <c r="C762" s="5" t="s">
        <v>441</v>
      </c>
      <c r="D762" s="5"/>
      <c r="E762" s="6" t="s">
        <v>442</v>
      </c>
      <c r="F762" s="6" t="s">
        <v>443</v>
      </c>
      <c r="G762" s="5" t="s">
        <v>443</v>
      </c>
      <c r="H762" s="7">
        <v>6</v>
      </c>
      <c r="I762" s="7">
        <v>38.74</v>
      </c>
      <c r="J762" s="7" t="s">
        <v>58</v>
      </c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5" t="s">
        <v>59</v>
      </c>
      <c r="V762" s="7" t="s">
        <v>60</v>
      </c>
      <c r="W762" s="7" t="s">
        <v>84</v>
      </c>
      <c r="X762" s="5" t="str">
        <f ca="1">IF(INDIRECT("W762")="Clássico","14%",IF(INDIRECT("W762")="Premium","19%","-"))</f>
        <v>19%</v>
      </c>
      <c r="Y762" s="7" t="s">
        <v>62</v>
      </c>
    </row>
    <row r="763" spans="1:25" ht="50" customHeight="1" x14ac:dyDescent="0.25">
      <c r="A763" s="5" t="s">
        <v>3403</v>
      </c>
      <c r="B763" s="5" t="s">
        <v>3404</v>
      </c>
      <c r="C763" s="5" t="s">
        <v>3405</v>
      </c>
      <c r="D763" s="5"/>
      <c r="E763" s="6" t="s">
        <v>3406</v>
      </c>
      <c r="F763" s="6" t="s">
        <v>3407</v>
      </c>
      <c r="G763" s="5" t="s">
        <v>3407</v>
      </c>
      <c r="H763" s="7">
        <v>6</v>
      </c>
      <c r="I763" s="7">
        <v>38.74</v>
      </c>
      <c r="J763" s="7" t="s">
        <v>58</v>
      </c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 t="s">
        <v>59</v>
      </c>
      <c r="V763" s="7" t="s">
        <v>60</v>
      </c>
      <c r="W763" s="7" t="s">
        <v>61</v>
      </c>
      <c r="X763" s="5" t="str">
        <f ca="1">IF(INDIRECT("W763")="Clássico","14%",IF(INDIRECT("W763")="Premium","19%","-"))</f>
        <v>14%</v>
      </c>
      <c r="Y763" s="7" t="s">
        <v>62</v>
      </c>
    </row>
    <row r="764" spans="1:25" ht="50" customHeight="1" x14ac:dyDescent="0.25">
      <c r="A764" s="5" t="s">
        <v>1066</v>
      </c>
      <c r="B764" s="5" t="s">
        <v>3408</v>
      </c>
      <c r="C764" s="5" t="s">
        <v>1068</v>
      </c>
      <c r="D764" s="5"/>
      <c r="E764" s="6" t="s">
        <v>1069</v>
      </c>
      <c r="F764" s="6" t="s">
        <v>1070</v>
      </c>
      <c r="G764" s="5" t="s">
        <v>1070</v>
      </c>
      <c r="H764" s="7">
        <v>15</v>
      </c>
      <c r="I764" s="7">
        <v>46.25</v>
      </c>
      <c r="J764" s="7" t="s">
        <v>58</v>
      </c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 t="s">
        <v>59</v>
      </c>
      <c r="V764" s="7" t="s">
        <v>60</v>
      </c>
      <c r="W764" s="7" t="s">
        <v>61</v>
      </c>
      <c r="X764" s="5" t="str">
        <f ca="1">IF(INDIRECT("W764")="Clássico","14%",IF(INDIRECT("W764")="Premium","19%","-"))</f>
        <v>14%</v>
      </c>
      <c r="Y764" s="7" t="s">
        <v>62</v>
      </c>
    </row>
    <row r="765" spans="1:25" ht="50" customHeight="1" x14ac:dyDescent="0.25">
      <c r="A765" s="5" t="s">
        <v>1177</v>
      </c>
      <c r="B765" s="5" t="s">
        <v>3409</v>
      </c>
      <c r="C765" s="5" t="s">
        <v>3410</v>
      </c>
      <c r="D765" s="5"/>
      <c r="E765" s="6" t="s">
        <v>1180</v>
      </c>
      <c r="F765" s="6" t="s">
        <v>3411</v>
      </c>
      <c r="G765" s="5" t="s">
        <v>3411</v>
      </c>
      <c r="H765" s="7">
        <v>9</v>
      </c>
      <c r="I765" s="7">
        <v>47.75</v>
      </c>
      <c r="J765" s="7" t="s">
        <v>58</v>
      </c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 t="s">
        <v>59</v>
      </c>
      <c r="V765" s="7" t="s">
        <v>101</v>
      </c>
      <c r="W765" s="7" t="s">
        <v>61</v>
      </c>
      <c r="X765" s="5" t="str">
        <f ca="1">IF(INDIRECT("W765")="Clássico","13%",IF(INDIRECT("W765")="Premium","17%","-"))</f>
        <v>13%</v>
      </c>
      <c r="Y765" s="7" t="s">
        <v>62</v>
      </c>
    </row>
    <row r="766" spans="1:25" ht="50" customHeight="1" x14ac:dyDescent="0.25">
      <c r="A766" s="5" t="s">
        <v>1833</v>
      </c>
      <c r="B766" s="5" t="s">
        <v>3412</v>
      </c>
      <c r="C766" s="5" t="s">
        <v>3413</v>
      </c>
      <c r="D766" s="5"/>
      <c r="E766" s="6" t="s">
        <v>1836</v>
      </c>
      <c r="F766" s="6" t="s">
        <v>1837</v>
      </c>
      <c r="G766" s="5" t="s">
        <v>1837</v>
      </c>
      <c r="H766" s="7">
        <v>6</v>
      </c>
      <c r="I766" s="7">
        <v>62.49</v>
      </c>
      <c r="J766" s="7" t="s">
        <v>58</v>
      </c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 t="s">
        <v>59</v>
      </c>
      <c r="V766" s="7" t="s">
        <v>60</v>
      </c>
      <c r="W766" s="7" t="s">
        <v>84</v>
      </c>
      <c r="X766" s="5" t="str">
        <f ca="1">IF(INDIRECT("W766")="Clássico","14%",IF(INDIRECT("W766")="Premium","19%","-"))</f>
        <v>19%</v>
      </c>
      <c r="Y766" s="7" t="s">
        <v>62</v>
      </c>
    </row>
    <row r="767" spans="1:25" ht="50" customHeight="1" x14ac:dyDescent="0.25">
      <c r="A767" s="5" t="s">
        <v>1961</v>
      </c>
      <c r="B767" s="5" t="s">
        <v>3414</v>
      </c>
      <c r="C767" s="5" t="s">
        <v>1963</v>
      </c>
      <c r="D767" s="5"/>
      <c r="E767" s="6" t="s">
        <v>1964</v>
      </c>
      <c r="F767" s="6" t="s">
        <v>1965</v>
      </c>
      <c r="G767" s="5" t="s">
        <v>1965</v>
      </c>
      <c r="H767" s="7">
        <v>6</v>
      </c>
      <c r="I767" s="7">
        <v>41.24</v>
      </c>
      <c r="J767" s="7" t="s">
        <v>58</v>
      </c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 t="s">
        <v>59</v>
      </c>
      <c r="V767" s="7" t="s">
        <v>60</v>
      </c>
      <c r="W767" s="7" t="s">
        <v>61</v>
      </c>
      <c r="X767" s="5" t="str">
        <f ca="1">IF(INDIRECT("W767")="Clássico","14%",IF(INDIRECT("W767")="Premium","19%","-"))</f>
        <v>14%</v>
      </c>
      <c r="Y767" s="7" t="s">
        <v>62</v>
      </c>
    </row>
    <row r="768" spans="1:25" ht="50" customHeight="1" x14ac:dyDescent="0.25">
      <c r="A768" s="5" t="s">
        <v>3415</v>
      </c>
      <c r="B768" s="5" t="s">
        <v>3416</v>
      </c>
      <c r="C768" s="5" t="s">
        <v>3417</v>
      </c>
      <c r="D768" s="5"/>
      <c r="E768" s="6" t="s">
        <v>3418</v>
      </c>
      <c r="F768" s="6" t="s">
        <v>3419</v>
      </c>
      <c r="G768" s="5" t="s">
        <v>3419</v>
      </c>
      <c r="H768" s="7">
        <v>6</v>
      </c>
      <c r="I768" s="7">
        <v>38.74</v>
      </c>
      <c r="J768" s="7" t="s">
        <v>58</v>
      </c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 t="s">
        <v>59</v>
      </c>
      <c r="V768" s="7" t="s">
        <v>60</v>
      </c>
      <c r="W768" s="7" t="s">
        <v>61</v>
      </c>
      <c r="X768" s="5" t="str">
        <f ca="1">IF(INDIRECT("W768")="Clássico","14%",IF(INDIRECT("W768")="Premium","19%","-"))</f>
        <v>14%</v>
      </c>
      <c r="Y768" s="7" t="s">
        <v>62</v>
      </c>
    </row>
    <row r="769" spans="1:25" ht="50" customHeight="1" x14ac:dyDescent="0.25">
      <c r="A769" s="5" t="s">
        <v>2895</v>
      </c>
      <c r="B769" s="5" t="s">
        <v>3420</v>
      </c>
      <c r="C769" s="5" t="s">
        <v>3421</v>
      </c>
      <c r="D769" s="5"/>
      <c r="E769" s="6" t="s">
        <v>2898</v>
      </c>
      <c r="F769" s="6" t="s">
        <v>3422</v>
      </c>
      <c r="G769" s="5" t="s">
        <v>3422</v>
      </c>
      <c r="H769" s="7">
        <v>10</v>
      </c>
      <c r="I769" s="7">
        <v>47.75</v>
      </c>
      <c r="J769" s="7" t="s">
        <v>58</v>
      </c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 t="s">
        <v>59</v>
      </c>
      <c r="V769" s="7" t="s">
        <v>101</v>
      </c>
      <c r="W769" s="7" t="s">
        <v>84</v>
      </c>
      <c r="X769" s="5" t="str">
        <f ca="1">IF(INDIRECT("W769")="Clássico","13%",IF(INDIRECT("W769")="Premium","17%","-"))</f>
        <v>17%</v>
      </c>
      <c r="Y769" s="7" t="s">
        <v>62</v>
      </c>
    </row>
    <row r="770" spans="1:25" ht="50" customHeight="1" x14ac:dyDescent="0.25">
      <c r="A770" s="5" t="s">
        <v>3423</v>
      </c>
      <c r="B770" s="5" t="s">
        <v>3424</v>
      </c>
      <c r="C770" s="5" t="s">
        <v>3425</v>
      </c>
      <c r="D770" s="5"/>
      <c r="E770" s="6" t="s">
        <v>3426</v>
      </c>
      <c r="F770" s="6" t="s">
        <v>3427</v>
      </c>
      <c r="G770" s="5" t="s">
        <v>3427</v>
      </c>
      <c r="H770" s="7">
        <v>23</v>
      </c>
      <c r="I770" s="7">
        <v>18.809999999999999</v>
      </c>
      <c r="J770" s="7" t="s">
        <v>58</v>
      </c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 t="s">
        <v>59</v>
      </c>
      <c r="V770" s="7" t="s">
        <v>60</v>
      </c>
      <c r="W770" s="7" t="s">
        <v>61</v>
      </c>
      <c r="X770" s="5" t="str">
        <f ca="1">IF(INDIRECT("W770")="Clássico","13%",IF(INDIRECT("W770")="Premium","17%","-"))</f>
        <v>13%</v>
      </c>
      <c r="Y770" s="7" t="s">
        <v>62</v>
      </c>
    </row>
    <row r="771" spans="1:25" ht="50" customHeight="1" x14ac:dyDescent="0.25">
      <c r="A771" s="5" t="s">
        <v>3428</v>
      </c>
      <c r="B771" s="5" t="s">
        <v>3429</v>
      </c>
      <c r="C771" s="5" t="s">
        <v>3430</v>
      </c>
      <c r="D771" s="5"/>
      <c r="E771" s="6" t="s">
        <v>3431</v>
      </c>
      <c r="F771" s="6" t="s">
        <v>3432</v>
      </c>
      <c r="G771" s="5" t="s">
        <v>3432</v>
      </c>
      <c r="H771" s="7">
        <v>12</v>
      </c>
      <c r="I771" s="7">
        <v>16.88</v>
      </c>
      <c r="J771" s="7" t="s">
        <v>58</v>
      </c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 t="s">
        <v>59</v>
      </c>
      <c r="V771" s="7" t="s">
        <v>60</v>
      </c>
      <c r="W771" s="7" t="s">
        <v>84</v>
      </c>
      <c r="X771" s="5" t="str">
        <f ca="1">IF(INDIRECT("W771")="Clássico","12%",IF(INDIRECT("W771")="Premium","17%","-"))</f>
        <v>17%</v>
      </c>
      <c r="Y771" s="7" t="s">
        <v>62</v>
      </c>
    </row>
    <row r="772" spans="1:25" ht="50" customHeight="1" x14ac:dyDescent="0.25">
      <c r="A772" s="5" t="s">
        <v>2620</v>
      </c>
      <c r="B772" s="5" t="s">
        <v>3433</v>
      </c>
      <c r="C772" s="5" t="s">
        <v>3434</v>
      </c>
      <c r="D772" s="5"/>
      <c r="E772" s="6" t="s">
        <v>2623</v>
      </c>
      <c r="F772" s="6" t="s">
        <v>3435</v>
      </c>
      <c r="G772" s="5" t="s">
        <v>3435</v>
      </c>
      <c r="H772" s="7">
        <v>8</v>
      </c>
      <c r="I772" s="7">
        <v>46.25</v>
      </c>
      <c r="J772" s="7" t="s">
        <v>58</v>
      </c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 t="s">
        <v>59</v>
      </c>
      <c r="V772" s="7" t="s">
        <v>60</v>
      </c>
      <c r="W772" s="7" t="s">
        <v>84</v>
      </c>
      <c r="X772" s="5" t="str">
        <f ca="1">IF(INDIRECT("W772")="Clássico","12%",IF(INDIRECT("W772")="Premium","17%","-"))</f>
        <v>17%</v>
      </c>
      <c r="Y772" s="7" t="s">
        <v>62</v>
      </c>
    </row>
    <row r="773" spans="1:25" ht="50" customHeight="1" x14ac:dyDescent="0.25">
      <c r="A773" s="5" t="s">
        <v>725</v>
      </c>
      <c r="B773" s="5" t="s">
        <v>3436</v>
      </c>
      <c r="C773" s="5" t="s">
        <v>727</v>
      </c>
      <c r="D773" s="5"/>
      <c r="E773" s="6" t="s">
        <v>728</v>
      </c>
      <c r="F773" s="6" t="s">
        <v>729</v>
      </c>
      <c r="G773" s="5" t="s">
        <v>729</v>
      </c>
      <c r="H773" s="7">
        <v>6</v>
      </c>
      <c r="I773" s="7">
        <v>41.24</v>
      </c>
      <c r="J773" s="7" t="s">
        <v>58</v>
      </c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 t="s">
        <v>59</v>
      </c>
      <c r="V773" s="7" t="s">
        <v>60</v>
      </c>
      <c r="W773" s="7" t="s">
        <v>84</v>
      </c>
      <c r="X773" s="5" t="str">
        <f ca="1">IF(INDIRECT("W773")="Clássico","14%",IF(INDIRECT("W773")="Premium","19%","-"))</f>
        <v>19%</v>
      </c>
      <c r="Y773" s="7" t="s">
        <v>62</v>
      </c>
    </row>
    <row r="774" spans="1:25" ht="50" customHeight="1" x14ac:dyDescent="0.25">
      <c r="A774" s="5" t="s">
        <v>2900</v>
      </c>
      <c r="B774" s="5" t="s">
        <v>3437</v>
      </c>
      <c r="C774" s="5" t="s">
        <v>3438</v>
      </c>
      <c r="D774" s="5"/>
      <c r="E774" s="6" t="s">
        <v>2903</v>
      </c>
      <c r="F774" s="6" t="s">
        <v>3439</v>
      </c>
      <c r="G774" s="5" t="s">
        <v>3439</v>
      </c>
      <c r="H774" s="7">
        <v>10</v>
      </c>
      <c r="I774" s="7">
        <v>39.950000000000003</v>
      </c>
      <c r="J774" s="7" t="s">
        <v>58</v>
      </c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 t="s">
        <v>59</v>
      </c>
      <c r="V774" s="7" t="s">
        <v>101</v>
      </c>
      <c r="W774" s="7" t="s">
        <v>84</v>
      </c>
      <c r="X774" s="5" t="str">
        <f ca="1">IF(INDIRECT("W774")="Clássico","13%",IF(INDIRECT("W774")="Premium","17%","-"))</f>
        <v>17%</v>
      </c>
      <c r="Y774" s="7" t="s">
        <v>62</v>
      </c>
    </row>
    <row r="775" spans="1:25" ht="50" customHeight="1" x14ac:dyDescent="0.25">
      <c r="A775" s="5" t="s">
        <v>2310</v>
      </c>
      <c r="B775" s="5" t="s">
        <v>3440</v>
      </c>
      <c r="C775" s="5" t="s">
        <v>3441</v>
      </c>
      <c r="D775" s="5"/>
      <c r="E775" s="6" t="s">
        <v>2313</v>
      </c>
      <c r="F775" s="6" t="s">
        <v>3442</v>
      </c>
      <c r="G775" s="5" t="s">
        <v>3442</v>
      </c>
      <c r="H775" s="7">
        <v>10</v>
      </c>
      <c r="I775" s="7">
        <v>55.55</v>
      </c>
      <c r="J775" s="7" t="s">
        <v>58</v>
      </c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 t="s">
        <v>59</v>
      </c>
      <c r="V775" s="7" t="s">
        <v>101</v>
      </c>
      <c r="W775" s="7" t="s">
        <v>84</v>
      </c>
      <c r="X775" s="5" t="str">
        <f ca="1">IF(INDIRECT("W775")="Clássico","13%",IF(INDIRECT("W775")="Premium","17%","-"))</f>
        <v>17%</v>
      </c>
      <c r="Y775" s="7" t="s">
        <v>62</v>
      </c>
    </row>
    <row r="776" spans="1:25" ht="50" customHeight="1" x14ac:dyDescent="0.25">
      <c r="A776" s="5" t="s">
        <v>3443</v>
      </c>
      <c r="B776" s="5" t="s">
        <v>3444</v>
      </c>
      <c r="C776" s="5" t="s">
        <v>3445</v>
      </c>
      <c r="D776" s="5"/>
      <c r="E776" s="6" t="s">
        <v>3446</v>
      </c>
      <c r="F776" s="6" t="s">
        <v>3447</v>
      </c>
      <c r="G776" s="5" t="s">
        <v>3447</v>
      </c>
      <c r="H776" s="7">
        <v>10</v>
      </c>
      <c r="I776" s="7">
        <v>61.25</v>
      </c>
      <c r="J776" s="7" t="s">
        <v>58</v>
      </c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 t="s">
        <v>59</v>
      </c>
      <c r="V776" s="7" t="s">
        <v>101</v>
      </c>
      <c r="W776" s="7" t="s">
        <v>61</v>
      </c>
      <c r="X776" s="5" t="str">
        <f ca="1">IF(INDIRECT("W776")="Clássico","13%",IF(INDIRECT("W776")="Premium","17%","-"))</f>
        <v>13%</v>
      </c>
      <c r="Y776" s="7" t="s">
        <v>62</v>
      </c>
    </row>
    <row r="777" spans="1:25" ht="50" customHeight="1" x14ac:dyDescent="0.25">
      <c r="A777" s="5" t="s">
        <v>1773</v>
      </c>
      <c r="B777" s="5" t="s">
        <v>3448</v>
      </c>
      <c r="C777" s="5" t="s">
        <v>3449</v>
      </c>
      <c r="D777" s="5"/>
      <c r="E777" s="6" t="s">
        <v>1776</v>
      </c>
      <c r="F777" s="6" t="s">
        <v>3450</v>
      </c>
      <c r="G777" s="5" t="s">
        <v>3450</v>
      </c>
      <c r="H777" s="7">
        <v>24</v>
      </c>
      <c r="I777" s="7">
        <v>18.38</v>
      </c>
      <c r="J777" s="7" t="s">
        <v>58</v>
      </c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 t="s">
        <v>59</v>
      </c>
      <c r="V777" s="7" t="s">
        <v>101</v>
      </c>
      <c r="W777" s="7" t="s">
        <v>84</v>
      </c>
      <c r="X777" s="5" t="str">
        <f ca="1">IF(INDIRECT("W777")="Clássico","13%",IF(INDIRECT("W777")="Premium","17%","-"))</f>
        <v>17%</v>
      </c>
      <c r="Y777" s="7" t="s">
        <v>62</v>
      </c>
    </row>
    <row r="778" spans="1:25" ht="50" customHeight="1" x14ac:dyDescent="0.25">
      <c r="A778" s="5" t="s">
        <v>2572</v>
      </c>
      <c r="B778" s="5" t="s">
        <v>3451</v>
      </c>
      <c r="C778" s="5" t="s">
        <v>3452</v>
      </c>
      <c r="D778" s="5"/>
      <c r="E778" s="6" t="s">
        <v>2575</v>
      </c>
      <c r="F778" s="6" t="s">
        <v>3453</v>
      </c>
      <c r="G778" s="5" t="s">
        <v>2577</v>
      </c>
      <c r="H778" s="7">
        <v>5</v>
      </c>
      <c r="I778" s="7">
        <v>21.99</v>
      </c>
      <c r="J778" s="7" t="s">
        <v>58</v>
      </c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 t="s">
        <v>59</v>
      </c>
      <c r="V778" s="7" t="s">
        <v>60</v>
      </c>
      <c r="W778" s="7" t="s">
        <v>84</v>
      </c>
      <c r="X778" s="5" t="str">
        <f ca="1">IF(INDIRECT("W778")="Clássico","13%",IF(INDIRECT("W778")="Premium","17%","-"))</f>
        <v>17%</v>
      </c>
      <c r="Y778" s="7" t="s">
        <v>62</v>
      </c>
    </row>
    <row r="779" spans="1:25" ht="50" customHeight="1" x14ac:dyDescent="0.25">
      <c r="A779" s="5" t="s">
        <v>3454</v>
      </c>
      <c r="B779" s="5" t="s">
        <v>3455</v>
      </c>
      <c r="C779" s="5" t="s">
        <v>3456</v>
      </c>
      <c r="D779" s="5"/>
      <c r="E779" s="6" t="s">
        <v>753</v>
      </c>
      <c r="F779" s="6" t="s">
        <v>3457</v>
      </c>
      <c r="G779" s="5" t="s">
        <v>755</v>
      </c>
      <c r="H779" s="7">
        <v>2</v>
      </c>
      <c r="I779" s="7">
        <v>33.450000000000003</v>
      </c>
      <c r="J779" s="7" t="s">
        <v>58</v>
      </c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 t="s">
        <v>59</v>
      </c>
      <c r="V779" s="7" t="s">
        <v>60</v>
      </c>
      <c r="W779" s="7" t="s">
        <v>61</v>
      </c>
      <c r="X779" s="5" t="str">
        <f ca="1">IF(INDIRECT("W779")="Clássico","12%",IF(INDIRECT("W779")="Premium","17%","-"))</f>
        <v>12%</v>
      </c>
      <c r="Y779" s="7" t="s">
        <v>62</v>
      </c>
    </row>
    <row r="780" spans="1:25" ht="50" customHeight="1" x14ac:dyDescent="0.25">
      <c r="A780" s="5" t="s">
        <v>2355</v>
      </c>
      <c r="B780" s="5" t="s">
        <v>3458</v>
      </c>
      <c r="C780" s="5" t="s">
        <v>2357</v>
      </c>
      <c r="D780" s="5"/>
      <c r="E780" s="6" t="s">
        <v>2358</v>
      </c>
      <c r="F780" s="6" t="s">
        <v>2359</v>
      </c>
      <c r="G780" s="5" t="s">
        <v>2359</v>
      </c>
      <c r="H780" s="7">
        <v>10</v>
      </c>
      <c r="I780" s="7">
        <v>21.25</v>
      </c>
      <c r="J780" s="7" t="s">
        <v>58</v>
      </c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 t="s">
        <v>59</v>
      </c>
      <c r="V780" s="7" t="s">
        <v>60</v>
      </c>
      <c r="W780" s="7" t="s">
        <v>84</v>
      </c>
      <c r="X780" s="5" t="str">
        <f ca="1">IF(INDIRECT("W780")="Clássico","13%",IF(INDIRECT("W780")="Premium","17%","-"))</f>
        <v>17%</v>
      </c>
      <c r="Y780" s="7" t="s">
        <v>62</v>
      </c>
    </row>
    <row r="781" spans="1:25" ht="50" customHeight="1" x14ac:dyDescent="0.25">
      <c r="A781" s="5" t="s">
        <v>1843</v>
      </c>
      <c r="B781" s="5" t="s">
        <v>3459</v>
      </c>
      <c r="C781" s="5" t="s">
        <v>3460</v>
      </c>
      <c r="D781" s="5"/>
      <c r="E781" s="6" t="s">
        <v>1846</v>
      </c>
      <c r="F781" s="6" t="s">
        <v>3461</v>
      </c>
      <c r="G781" s="5" t="s">
        <v>3461</v>
      </c>
      <c r="H781" s="7">
        <v>7</v>
      </c>
      <c r="I781" s="7">
        <v>183.75</v>
      </c>
      <c r="J781" s="7" t="s">
        <v>58</v>
      </c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 t="s">
        <v>59</v>
      </c>
      <c r="V781" s="7" t="s">
        <v>129</v>
      </c>
      <c r="W781" s="7" t="s">
        <v>84</v>
      </c>
      <c r="X781" s="5" t="str">
        <f ca="1">IF(INDIRECT("W781")="Clássico","14%",IF(INDIRECT("W781")="Premium","19%","-"))</f>
        <v>19%</v>
      </c>
      <c r="Y781" s="7" t="s">
        <v>62</v>
      </c>
    </row>
    <row r="782" spans="1:25" ht="50" customHeight="1" x14ac:dyDescent="0.25">
      <c r="A782" s="5" t="s">
        <v>354</v>
      </c>
      <c r="B782" s="5" t="s">
        <v>3462</v>
      </c>
      <c r="C782" s="5" t="s">
        <v>3463</v>
      </c>
      <c r="D782" s="5"/>
      <c r="E782" s="6" t="s">
        <v>357</v>
      </c>
      <c r="F782" s="6" t="s">
        <v>3464</v>
      </c>
      <c r="G782" s="5" t="s">
        <v>3464</v>
      </c>
      <c r="H782" s="7">
        <v>90</v>
      </c>
      <c r="I782" s="7">
        <v>127.5</v>
      </c>
      <c r="J782" s="7" t="s">
        <v>58</v>
      </c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 t="s">
        <v>59</v>
      </c>
      <c r="V782" s="7" t="s">
        <v>129</v>
      </c>
      <c r="W782" s="7" t="s">
        <v>84</v>
      </c>
      <c r="X782" s="5" t="str">
        <f ca="1">IF(INDIRECT("W782")="Clássico","12%",IF(INDIRECT("W782")="Premium","17%","-"))</f>
        <v>17%</v>
      </c>
      <c r="Y782" s="7" t="s">
        <v>62</v>
      </c>
    </row>
    <row r="783" spans="1:25" ht="50" customHeight="1" x14ac:dyDescent="0.25">
      <c r="A783" s="5" t="s">
        <v>96</v>
      </c>
      <c r="B783" s="5" t="s">
        <v>3465</v>
      </c>
      <c r="C783" s="5" t="s">
        <v>98</v>
      </c>
      <c r="D783" s="5"/>
      <c r="E783" s="6" t="s">
        <v>99</v>
      </c>
      <c r="F783" s="5" t="s">
        <v>100</v>
      </c>
      <c r="G783" s="5" t="s">
        <v>78</v>
      </c>
      <c r="H783" s="7">
        <v>8</v>
      </c>
      <c r="I783" s="7">
        <v>89.49</v>
      </c>
      <c r="J783" s="7" t="s">
        <v>58</v>
      </c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5" t="s">
        <v>59</v>
      </c>
      <c r="V783" s="7" t="s">
        <v>101</v>
      </c>
      <c r="W783" s="7" t="s">
        <v>61</v>
      </c>
      <c r="X783" s="5" t="str">
        <f ca="1">IF(INDIRECT("W783")="Clássico","13%",IF(INDIRECT("W783")="Premium","17%","-"))</f>
        <v>13%</v>
      </c>
      <c r="Y783" s="7" t="s">
        <v>62</v>
      </c>
    </row>
    <row r="784" spans="1:25" ht="50" customHeight="1" x14ac:dyDescent="0.25">
      <c r="A784" s="5" t="s">
        <v>167</v>
      </c>
      <c r="B784" s="5" t="s">
        <v>3466</v>
      </c>
      <c r="C784" s="5" t="s">
        <v>169</v>
      </c>
      <c r="D784" s="5"/>
      <c r="E784" s="6" t="s">
        <v>170</v>
      </c>
      <c r="F784" s="5" t="s">
        <v>171</v>
      </c>
      <c r="G784" s="5" t="s">
        <v>78</v>
      </c>
      <c r="H784" s="7">
        <v>9</v>
      </c>
      <c r="I784" s="7">
        <v>24.45</v>
      </c>
      <c r="J784" s="7" t="s">
        <v>58</v>
      </c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5" t="s">
        <v>59</v>
      </c>
      <c r="V784" s="7" t="s">
        <v>60</v>
      </c>
      <c r="W784" s="7" t="s">
        <v>61</v>
      </c>
      <c r="X784" s="5" t="str">
        <f ca="1">IF(INDIRECT("W784")="Clássico","13%",IF(INDIRECT("W784")="Premium","17%","-"))</f>
        <v>13%</v>
      </c>
      <c r="Y784" s="7" t="s">
        <v>62</v>
      </c>
    </row>
    <row r="785" spans="1:25" ht="50" customHeight="1" x14ac:dyDescent="0.25">
      <c r="A785" s="5" t="s">
        <v>218</v>
      </c>
      <c r="B785" s="5" t="s">
        <v>3467</v>
      </c>
      <c r="C785" s="5" t="s">
        <v>220</v>
      </c>
      <c r="D785" s="5"/>
      <c r="E785" s="6" t="s">
        <v>221</v>
      </c>
      <c r="F785" s="5" t="s">
        <v>3468</v>
      </c>
      <c r="G785" s="5" t="s">
        <v>78</v>
      </c>
      <c r="H785" s="7">
        <v>1</v>
      </c>
      <c r="I785" s="7">
        <v>157.49</v>
      </c>
      <c r="J785" s="7" t="s">
        <v>58</v>
      </c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5" t="s">
        <v>59</v>
      </c>
      <c r="V785" s="7" t="s">
        <v>129</v>
      </c>
      <c r="W785" s="7" t="s">
        <v>84</v>
      </c>
      <c r="X785" s="5" t="str">
        <f ca="1">IF(INDIRECT("W785")="Clássico","14%",IF(INDIRECT("W785")="Premium","19%","-"))</f>
        <v>19%</v>
      </c>
      <c r="Y785" s="7" t="s">
        <v>62</v>
      </c>
    </row>
    <row r="786" spans="1:25" ht="50" customHeight="1" x14ac:dyDescent="0.25">
      <c r="A786" s="5" t="s">
        <v>404</v>
      </c>
      <c r="B786" s="5" t="s">
        <v>3469</v>
      </c>
      <c r="C786" s="5" t="s">
        <v>406</v>
      </c>
      <c r="D786" s="5"/>
      <c r="E786" s="6" t="s">
        <v>407</v>
      </c>
      <c r="F786" s="5" t="s">
        <v>3470</v>
      </c>
      <c r="G786" s="5" t="s">
        <v>78</v>
      </c>
      <c r="H786" s="7">
        <v>10</v>
      </c>
      <c r="I786" s="7">
        <v>22.49</v>
      </c>
      <c r="J786" s="7" t="s">
        <v>58</v>
      </c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5" t="s">
        <v>59</v>
      </c>
      <c r="V786" s="7" t="s">
        <v>60</v>
      </c>
      <c r="W786" s="7" t="s">
        <v>61</v>
      </c>
      <c r="X786" s="5" t="str">
        <f ca="1">IF(INDIRECT("W786")="Clássico","13%",IF(INDIRECT("W786")="Premium","17%","-"))</f>
        <v>13%</v>
      </c>
      <c r="Y786" s="7" t="s">
        <v>62</v>
      </c>
    </row>
    <row r="787" spans="1:25" ht="50" customHeight="1" x14ac:dyDescent="0.25">
      <c r="A787" s="5" t="s">
        <v>623</v>
      </c>
      <c r="B787" s="5" t="s">
        <v>3471</v>
      </c>
      <c r="C787" s="5" t="s">
        <v>625</v>
      </c>
      <c r="D787" s="5"/>
      <c r="E787" s="6" t="s">
        <v>626</v>
      </c>
      <c r="F787" s="5" t="s">
        <v>3472</v>
      </c>
      <c r="G787" s="5" t="s">
        <v>78</v>
      </c>
      <c r="H787" s="7">
        <v>6</v>
      </c>
      <c r="I787" s="7">
        <v>35.49</v>
      </c>
      <c r="J787" s="7" t="s">
        <v>58</v>
      </c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5" t="s">
        <v>59</v>
      </c>
      <c r="V787" s="7" t="s">
        <v>101</v>
      </c>
      <c r="W787" s="7" t="s">
        <v>61</v>
      </c>
      <c r="X787" s="5" t="str">
        <f ca="1">IF(INDIRECT("W787")="Clássico","13%",IF(INDIRECT("W787")="Premium","17%","-"))</f>
        <v>13%</v>
      </c>
      <c r="Y787" s="7" t="s">
        <v>62</v>
      </c>
    </row>
    <row r="788" spans="1:25" ht="50" customHeight="1" x14ac:dyDescent="0.25">
      <c r="A788" s="5" t="s">
        <v>990</v>
      </c>
      <c r="B788" s="5" t="s">
        <v>3473</v>
      </c>
      <c r="C788" s="5" t="s">
        <v>992</v>
      </c>
      <c r="D788" s="5"/>
      <c r="E788" s="6" t="s">
        <v>993</v>
      </c>
      <c r="F788" s="5" t="s">
        <v>3474</v>
      </c>
      <c r="G788" s="5" t="s">
        <v>78</v>
      </c>
      <c r="H788" s="7">
        <v>4</v>
      </c>
      <c r="I788" s="7">
        <v>28.49</v>
      </c>
      <c r="J788" s="7" t="s">
        <v>58</v>
      </c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5" t="s">
        <v>59</v>
      </c>
      <c r="V788" s="7" t="s">
        <v>60</v>
      </c>
      <c r="W788" s="7" t="s">
        <v>61</v>
      </c>
      <c r="X788" s="5" t="str">
        <f ca="1">IF(INDIRECT("W788")="Clássico","13%",IF(INDIRECT("W788")="Premium","17%","-"))</f>
        <v>13%</v>
      </c>
      <c r="Y788" s="7" t="s">
        <v>62</v>
      </c>
    </row>
    <row r="789" spans="1:25" ht="50" customHeight="1" x14ac:dyDescent="0.25">
      <c r="A789" s="5" t="s">
        <v>1252</v>
      </c>
      <c r="B789" s="5" t="s">
        <v>3475</v>
      </c>
      <c r="C789" s="5" t="s">
        <v>1254</v>
      </c>
      <c r="D789" s="5"/>
      <c r="E789" s="6" t="s">
        <v>1255</v>
      </c>
      <c r="F789" s="5" t="s">
        <v>3476</v>
      </c>
      <c r="G789" s="5" t="s">
        <v>78</v>
      </c>
      <c r="H789" s="7">
        <v>10</v>
      </c>
      <c r="I789" s="7">
        <v>26.49</v>
      </c>
      <c r="J789" s="7" t="s">
        <v>58</v>
      </c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5" t="s">
        <v>59</v>
      </c>
      <c r="V789" s="7" t="s">
        <v>101</v>
      </c>
      <c r="W789" s="7" t="s">
        <v>61</v>
      </c>
      <c r="X789" s="5" t="str">
        <f ca="1">IF(INDIRECT("W789")="Clássico","13%",IF(INDIRECT("W789")="Premium","17%","-"))</f>
        <v>13%</v>
      </c>
      <c r="Y789" s="7" t="s">
        <v>62</v>
      </c>
    </row>
    <row r="790" spans="1:25" ht="50" customHeight="1" x14ac:dyDescent="0.25">
      <c r="A790" s="5" t="s">
        <v>2567</v>
      </c>
      <c r="B790" s="5" t="s">
        <v>3477</v>
      </c>
      <c r="C790" s="5" t="s">
        <v>2569</v>
      </c>
      <c r="D790" s="5"/>
      <c r="E790" s="6" t="s">
        <v>2570</v>
      </c>
      <c r="F790" s="5" t="s">
        <v>3478</v>
      </c>
      <c r="G790" s="5" t="s">
        <v>78</v>
      </c>
      <c r="H790" s="7">
        <v>3</v>
      </c>
      <c r="I790" s="7">
        <v>26.49</v>
      </c>
      <c r="J790" s="7" t="s">
        <v>58</v>
      </c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5" t="s">
        <v>59</v>
      </c>
      <c r="V790" s="7" t="s">
        <v>60</v>
      </c>
      <c r="W790" s="7" t="s">
        <v>61</v>
      </c>
      <c r="X790" s="5" t="str">
        <f ca="1">IF(INDIRECT("W790")="Clássico","12.5%",IF(INDIRECT("W790")="Premium","17.5%","-"))</f>
        <v>12.5%</v>
      </c>
      <c r="Y790" s="7" t="s">
        <v>62</v>
      </c>
    </row>
    <row r="791" spans="1:25" ht="50" customHeight="1" x14ac:dyDescent="0.25">
      <c r="A791" s="5" t="s">
        <v>2213</v>
      </c>
      <c r="B791" s="5" t="s">
        <v>3479</v>
      </c>
      <c r="C791" s="5" t="s">
        <v>2215</v>
      </c>
      <c r="D791" s="5"/>
      <c r="E791" s="6" t="s">
        <v>2216</v>
      </c>
      <c r="F791" s="5" t="s">
        <v>3480</v>
      </c>
      <c r="G791" s="5" t="s">
        <v>78</v>
      </c>
      <c r="H791" s="7">
        <v>8</v>
      </c>
      <c r="I791" s="7">
        <v>18.489999999999998</v>
      </c>
      <c r="J791" s="7" t="s">
        <v>58</v>
      </c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5" t="s">
        <v>59</v>
      </c>
      <c r="V791" s="7" t="s">
        <v>60</v>
      </c>
      <c r="W791" s="7" t="s">
        <v>61</v>
      </c>
      <c r="X791" s="5" t="str">
        <f ca="1">IF(INDIRECT("W791")="Clássico","13%",IF(INDIRECT("W791")="Premium","17%","-"))</f>
        <v>13%</v>
      </c>
      <c r="Y791" s="7" t="s">
        <v>62</v>
      </c>
    </row>
    <row r="792" spans="1:25" ht="50" customHeight="1" x14ac:dyDescent="0.25">
      <c r="A792" s="5" t="s">
        <v>816</v>
      </c>
      <c r="B792" s="5" t="s">
        <v>3481</v>
      </c>
      <c r="C792" s="5" t="s">
        <v>818</v>
      </c>
      <c r="D792" s="5"/>
      <c r="E792" s="6" t="s">
        <v>819</v>
      </c>
      <c r="F792" s="5" t="s">
        <v>3482</v>
      </c>
      <c r="G792" s="5" t="s">
        <v>78</v>
      </c>
      <c r="H792" s="7">
        <v>12</v>
      </c>
      <c r="I792" s="7">
        <v>30.49</v>
      </c>
      <c r="J792" s="7" t="s">
        <v>58</v>
      </c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5" t="s">
        <v>59</v>
      </c>
      <c r="V792" s="7" t="s">
        <v>101</v>
      </c>
      <c r="W792" s="7" t="s">
        <v>61</v>
      </c>
      <c r="X792" s="5" t="str">
        <f ca="1">IF(INDIRECT("W792")="Clássico","13%",IF(INDIRECT("W792")="Premium","17%","-"))</f>
        <v>13%</v>
      </c>
      <c r="Y792" s="7" t="s">
        <v>62</v>
      </c>
    </row>
    <row r="793" spans="1:25" ht="50" customHeight="1" x14ac:dyDescent="0.25">
      <c r="A793" s="5" t="s">
        <v>1247</v>
      </c>
      <c r="B793" s="5" t="s">
        <v>3483</v>
      </c>
      <c r="C793" s="5" t="s">
        <v>1249</v>
      </c>
      <c r="D793" s="5"/>
      <c r="E793" s="6" t="s">
        <v>1250</v>
      </c>
      <c r="F793" s="5" t="s">
        <v>3484</v>
      </c>
      <c r="G793" s="5" t="s">
        <v>78</v>
      </c>
      <c r="H793" s="7">
        <v>12</v>
      </c>
      <c r="I793" s="7">
        <v>26.49</v>
      </c>
      <c r="J793" s="7" t="s">
        <v>58</v>
      </c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5" t="s">
        <v>59</v>
      </c>
      <c r="V793" s="7" t="s">
        <v>101</v>
      </c>
      <c r="W793" s="7" t="s">
        <v>61</v>
      </c>
      <c r="X793" s="5" t="str">
        <f ca="1">IF(INDIRECT("W793")="Clássico","13%",IF(INDIRECT("W793")="Premium","17%","-"))</f>
        <v>13%</v>
      </c>
      <c r="Y793" s="7" t="s">
        <v>62</v>
      </c>
    </row>
    <row r="794" spans="1:25" ht="50" customHeight="1" x14ac:dyDescent="0.25">
      <c r="A794" s="5" t="s">
        <v>2958</v>
      </c>
      <c r="B794" s="5" t="s">
        <v>3485</v>
      </c>
      <c r="C794" s="5" t="s">
        <v>2960</v>
      </c>
      <c r="D794" s="5"/>
      <c r="E794" s="6" t="s">
        <v>2961</v>
      </c>
      <c r="F794" s="5" t="s">
        <v>2962</v>
      </c>
      <c r="G794" s="5" t="s">
        <v>78</v>
      </c>
      <c r="H794" s="7">
        <v>4</v>
      </c>
      <c r="I794" s="7">
        <v>26.49</v>
      </c>
      <c r="J794" s="7" t="s">
        <v>58</v>
      </c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5" t="s">
        <v>59</v>
      </c>
      <c r="V794" s="7" t="s">
        <v>101</v>
      </c>
      <c r="W794" s="7" t="s">
        <v>61</v>
      </c>
      <c r="X794" s="5" t="str">
        <f ca="1">IF(INDIRECT("W794")="Clássico","13%",IF(INDIRECT("W794")="Premium","17%","-"))</f>
        <v>13%</v>
      </c>
      <c r="Y794" s="7" t="s">
        <v>62</v>
      </c>
    </row>
    <row r="795" spans="1:25" ht="50" customHeight="1" x14ac:dyDescent="0.25">
      <c r="A795" s="5" t="s">
        <v>2305</v>
      </c>
      <c r="B795" s="5" t="s">
        <v>3486</v>
      </c>
      <c r="C795" s="5" t="s">
        <v>2307</v>
      </c>
      <c r="D795" s="5"/>
      <c r="E795" s="6" t="s">
        <v>2308</v>
      </c>
      <c r="F795" s="5" t="s">
        <v>3487</v>
      </c>
      <c r="G795" s="5" t="s">
        <v>78</v>
      </c>
      <c r="H795" s="7">
        <v>96</v>
      </c>
      <c r="I795" s="7">
        <v>20.49</v>
      </c>
      <c r="J795" s="7" t="s">
        <v>58</v>
      </c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5" t="s">
        <v>59</v>
      </c>
      <c r="V795" s="7" t="s">
        <v>60</v>
      </c>
      <c r="W795" s="7" t="s">
        <v>61</v>
      </c>
      <c r="X795" s="5" t="str">
        <f ca="1">IF(INDIRECT("W795")="Clássico","13%",IF(INDIRECT("W795")="Premium","17%","-"))</f>
        <v>13%</v>
      </c>
      <c r="Y795" s="7" t="s">
        <v>62</v>
      </c>
    </row>
    <row r="796" spans="1:25" ht="50" customHeight="1" x14ac:dyDescent="0.25">
      <c r="A796" s="5" t="s">
        <v>2248</v>
      </c>
      <c r="B796" s="5" t="s">
        <v>3488</v>
      </c>
      <c r="C796" s="5" t="s">
        <v>2250</v>
      </c>
      <c r="D796" s="5"/>
      <c r="E796" s="6" t="s">
        <v>1717</v>
      </c>
      <c r="F796" s="5" t="s">
        <v>3489</v>
      </c>
      <c r="G796" s="5" t="s">
        <v>78</v>
      </c>
      <c r="H796" s="7">
        <v>12</v>
      </c>
      <c r="I796" s="7">
        <v>31.49</v>
      </c>
      <c r="J796" s="7" t="s">
        <v>58</v>
      </c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5" t="s">
        <v>59</v>
      </c>
      <c r="V796" s="7" t="s">
        <v>60</v>
      </c>
      <c r="W796" s="7" t="s">
        <v>61</v>
      </c>
      <c r="X796" s="5" t="str">
        <f ca="1">IF(INDIRECT("W796")="Clássico","13%",IF(INDIRECT("W796")="Premium","17%","-"))</f>
        <v>13%</v>
      </c>
      <c r="Y796" s="7" t="s">
        <v>62</v>
      </c>
    </row>
    <row r="797" spans="1:25" ht="50" customHeight="1" x14ac:dyDescent="0.25">
      <c r="A797" s="5" t="s">
        <v>960</v>
      </c>
      <c r="B797" s="5" t="s">
        <v>3490</v>
      </c>
      <c r="C797" s="5" t="s">
        <v>962</v>
      </c>
      <c r="D797" s="5"/>
      <c r="E797" s="6" t="s">
        <v>963</v>
      </c>
      <c r="F797" s="5" t="s">
        <v>3491</v>
      </c>
      <c r="G797" s="5" t="s">
        <v>78</v>
      </c>
      <c r="H797" s="7">
        <v>12</v>
      </c>
      <c r="I797" s="7">
        <v>26.8</v>
      </c>
      <c r="J797" s="7" t="s">
        <v>58</v>
      </c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5" t="s">
        <v>59</v>
      </c>
      <c r="V797" s="7" t="s">
        <v>101</v>
      </c>
      <c r="W797" s="7" t="s">
        <v>84</v>
      </c>
      <c r="X797" s="5" t="str">
        <f ca="1">IF(INDIRECT("W797")="Clássico","13%",IF(INDIRECT("W797")="Premium","17%","-"))</f>
        <v>17%</v>
      </c>
      <c r="Y797" s="7" t="s">
        <v>62</v>
      </c>
    </row>
    <row r="798" spans="1:25" ht="50" customHeight="1" x14ac:dyDescent="0.25">
      <c r="A798" s="5" t="s">
        <v>2335</v>
      </c>
      <c r="B798" s="5" t="s">
        <v>3492</v>
      </c>
      <c r="C798" s="5" t="s">
        <v>3395</v>
      </c>
      <c r="D798" s="5"/>
      <c r="E798" s="6" t="s">
        <v>2338</v>
      </c>
      <c r="F798" s="5" t="s">
        <v>3493</v>
      </c>
      <c r="G798" s="5" t="s">
        <v>78</v>
      </c>
      <c r="H798" s="7">
        <v>29</v>
      </c>
      <c r="I798" s="7">
        <v>61.25</v>
      </c>
      <c r="J798" s="7" t="s">
        <v>58</v>
      </c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5" t="s">
        <v>59</v>
      </c>
      <c r="V798" s="7" t="s">
        <v>60</v>
      </c>
      <c r="W798" s="7" t="s">
        <v>61</v>
      </c>
      <c r="X798" s="5" t="str">
        <f ca="1">IF(INDIRECT("W798")="Clássico","14%",IF(INDIRECT("W798")="Premium","19%","-"))</f>
        <v>14%</v>
      </c>
      <c r="Y798" s="7" t="s">
        <v>62</v>
      </c>
    </row>
    <row r="799" spans="1:25" ht="50" customHeight="1" x14ac:dyDescent="0.25">
      <c r="A799" s="5" t="s">
        <v>1187</v>
      </c>
      <c r="B799" s="5" t="s">
        <v>3494</v>
      </c>
      <c r="C799" s="5" t="s">
        <v>1189</v>
      </c>
      <c r="D799" s="5"/>
      <c r="E799" s="6" t="s">
        <v>1190</v>
      </c>
      <c r="F799" s="5" t="s">
        <v>3495</v>
      </c>
      <c r="G799" s="5" t="s">
        <v>78</v>
      </c>
      <c r="H799" s="7">
        <v>3</v>
      </c>
      <c r="I799" s="7">
        <v>201</v>
      </c>
      <c r="J799" s="7" t="s">
        <v>58</v>
      </c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5" t="s">
        <v>59</v>
      </c>
      <c r="V799" s="7" t="s">
        <v>129</v>
      </c>
      <c r="W799" s="7" t="s">
        <v>84</v>
      </c>
      <c r="X799" s="5" t="str">
        <f ca="1">IF(INDIRECT("W799")="Clássico","14%",IF(INDIRECT("W799")="Premium","19%","-"))</f>
        <v>19%</v>
      </c>
      <c r="Y799" s="7" t="s">
        <v>62</v>
      </c>
    </row>
    <row r="800" spans="1:25" ht="50" customHeight="1" x14ac:dyDescent="0.25">
      <c r="A800" s="5" t="s">
        <v>278</v>
      </c>
      <c r="B800" s="5" t="s">
        <v>3496</v>
      </c>
      <c r="C800" s="5" t="s">
        <v>280</v>
      </c>
      <c r="D800" s="5"/>
      <c r="E800" s="6" t="s">
        <v>281</v>
      </c>
      <c r="F800" s="5" t="s">
        <v>3497</v>
      </c>
      <c r="G800" s="5" t="s">
        <v>78</v>
      </c>
      <c r="H800" s="7">
        <v>9</v>
      </c>
      <c r="I800" s="7">
        <v>89.9</v>
      </c>
      <c r="J800" s="7" t="s">
        <v>58</v>
      </c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5" t="s">
        <v>59</v>
      </c>
      <c r="V800" s="7" t="s">
        <v>129</v>
      </c>
      <c r="W800" s="7" t="s">
        <v>84</v>
      </c>
      <c r="X800" s="5" t="str">
        <f ca="1">IF(INDIRECT("W800")="Clássico","12%",IF(INDIRECT("W800")="Premium","17%","-"))</f>
        <v>17%</v>
      </c>
      <c r="Y800" s="7" t="s">
        <v>62</v>
      </c>
    </row>
    <row r="801" spans="1:25" ht="50" customHeight="1" x14ac:dyDescent="0.25">
      <c r="A801" s="5" t="s">
        <v>278</v>
      </c>
      <c r="B801" s="5" t="s">
        <v>3498</v>
      </c>
      <c r="C801" s="5" t="s">
        <v>280</v>
      </c>
      <c r="D801" s="5"/>
      <c r="E801" s="6" t="s">
        <v>281</v>
      </c>
      <c r="F801" s="5" t="s">
        <v>3497</v>
      </c>
      <c r="G801" s="5" t="s">
        <v>78</v>
      </c>
      <c r="H801" s="7">
        <v>9</v>
      </c>
      <c r="I801" s="7">
        <v>110.49</v>
      </c>
      <c r="J801" s="7" t="s">
        <v>58</v>
      </c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5" t="s">
        <v>59</v>
      </c>
      <c r="V801" s="7" t="s">
        <v>129</v>
      </c>
      <c r="W801" s="7" t="s">
        <v>84</v>
      </c>
      <c r="X801" s="5" t="str">
        <f ca="1">IF(INDIRECT("W801")="Clássico","12%",IF(INDIRECT("W801")="Premium","17%","-"))</f>
        <v>17%</v>
      </c>
      <c r="Y801" s="7" t="s">
        <v>62</v>
      </c>
    </row>
    <row r="802" spans="1:25" ht="50" customHeight="1" x14ac:dyDescent="0.25">
      <c r="A802" s="5" t="s">
        <v>1572</v>
      </c>
      <c r="B802" s="5" t="s">
        <v>3499</v>
      </c>
      <c r="C802" s="5" t="s">
        <v>2219</v>
      </c>
      <c r="D802" s="5"/>
      <c r="E802" s="6" t="s">
        <v>1575</v>
      </c>
      <c r="F802" s="5" t="s">
        <v>3500</v>
      </c>
      <c r="G802" s="5" t="s">
        <v>78</v>
      </c>
      <c r="H802" s="7">
        <v>2</v>
      </c>
      <c r="I802" s="7">
        <v>33.49</v>
      </c>
      <c r="J802" s="7" t="s">
        <v>58</v>
      </c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5" t="s">
        <v>59</v>
      </c>
      <c r="V802" s="7" t="s">
        <v>60</v>
      </c>
      <c r="W802" s="7" t="s">
        <v>61</v>
      </c>
      <c r="X802" s="5" t="str">
        <f ca="1">IF(INDIRECT("W802")="Clássico","13%",IF(INDIRECT("W802")="Premium","17%","-"))</f>
        <v>13%</v>
      </c>
      <c r="Y802" s="7" t="s">
        <v>62</v>
      </c>
    </row>
    <row r="803" spans="1:25" ht="50" customHeight="1" x14ac:dyDescent="0.25">
      <c r="A803" s="5" t="s">
        <v>1641</v>
      </c>
      <c r="B803" s="5" t="s">
        <v>3501</v>
      </c>
      <c r="C803" s="5" t="s">
        <v>1643</v>
      </c>
      <c r="D803" s="5"/>
      <c r="E803" s="6" t="s">
        <v>1644</v>
      </c>
      <c r="F803" s="5" t="s">
        <v>3502</v>
      </c>
      <c r="G803" s="5" t="s">
        <v>78</v>
      </c>
      <c r="H803" s="7">
        <v>9</v>
      </c>
      <c r="I803" s="7">
        <v>26.9</v>
      </c>
      <c r="J803" s="7" t="s">
        <v>58</v>
      </c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5" t="s">
        <v>59</v>
      </c>
      <c r="V803" s="7" t="s">
        <v>60</v>
      </c>
      <c r="W803" s="7" t="s">
        <v>84</v>
      </c>
      <c r="X803" s="5" t="str">
        <f ca="1">IF(INDIRECT("W803")="Clássico","13%",IF(INDIRECT("W803")="Premium","17%","-"))</f>
        <v>17%</v>
      </c>
      <c r="Y803" s="7" t="s">
        <v>62</v>
      </c>
    </row>
    <row r="804" spans="1:25" ht="50" customHeight="1" x14ac:dyDescent="0.25">
      <c r="A804" s="5" t="s">
        <v>2110</v>
      </c>
      <c r="B804" s="5" t="s">
        <v>3503</v>
      </c>
      <c r="C804" s="5" t="s">
        <v>2112</v>
      </c>
      <c r="D804" s="5"/>
      <c r="E804" s="6" t="s">
        <v>2113</v>
      </c>
      <c r="F804" s="5" t="s">
        <v>3050</v>
      </c>
      <c r="G804" s="5" t="s">
        <v>78</v>
      </c>
      <c r="H804" s="7">
        <v>12</v>
      </c>
      <c r="I804" s="7">
        <v>30.49</v>
      </c>
      <c r="J804" s="7" t="s">
        <v>58</v>
      </c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5" t="s">
        <v>59</v>
      </c>
      <c r="V804" s="7" t="s">
        <v>60</v>
      </c>
      <c r="W804" s="7" t="s">
        <v>61</v>
      </c>
      <c r="X804" s="5" t="str">
        <f ca="1">IF(INDIRECT("W804")="Clássico","13%",IF(INDIRECT("W804")="Premium","17%","-"))</f>
        <v>13%</v>
      </c>
      <c r="Y804" s="7" t="s">
        <v>62</v>
      </c>
    </row>
    <row r="805" spans="1:25" ht="50" customHeight="1" x14ac:dyDescent="0.25">
      <c r="A805" s="5" t="s">
        <v>2685</v>
      </c>
      <c r="B805" s="5" t="s">
        <v>3504</v>
      </c>
      <c r="C805" s="5" t="s">
        <v>2687</v>
      </c>
      <c r="D805" s="5"/>
      <c r="E805" s="6" t="s">
        <v>2688</v>
      </c>
      <c r="F805" s="5" t="s">
        <v>3505</v>
      </c>
      <c r="G805" s="5" t="s">
        <v>78</v>
      </c>
      <c r="H805" s="7">
        <v>19</v>
      </c>
      <c r="I805" s="7">
        <v>28.49</v>
      </c>
      <c r="J805" s="7" t="s">
        <v>58</v>
      </c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5" t="s">
        <v>59</v>
      </c>
      <c r="V805" s="7" t="s">
        <v>60</v>
      </c>
      <c r="W805" s="7" t="s">
        <v>61</v>
      </c>
      <c r="X805" s="5" t="str">
        <f ca="1">IF(INDIRECT("W805")="Clássico","13%",IF(INDIRECT("W805")="Premium","17%","-"))</f>
        <v>13%</v>
      </c>
      <c r="Y805" s="7" t="s">
        <v>62</v>
      </c>
    </row>
    <row r="806" spans="1:25" ht="50" customHeight="1" x14ac:dyDescent="0.25">
      <c r="A806" s="5" t="s">
        <v>2110</v>
      </c>
      <c r="B806" s="5" t="s">
        <v>3506</v>
      </c>
      <c r="C806" s="5" t="s">
        <v>2112</v>
      </c>
      <c r="D806" s="5"/>
      <c r="E806" s="6" t="s">
        <v>2113</v>
      </c>
      <c r="F806" s="5" t="s">
        <v>3050</v>
      </c>
      <c r="G806" s="5" t="s">
        <v>78</v>
      </c>
      <c r="H806" s="7">
        <v>12</v>
      </c>
      <c r="I806" s="7">
        <v>30.49</v>
      </c>
      <c r="J806" s="7" t="s">
        <v>58</v>
      </c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5" t="s">
        <v>59</v>
      </c>
      <c r="V806" s="7" t="s">
        <v>60</v>
      </c>
      <c r="W806" s="7" t="s">
        <v>84</v>
      </c>
      <c r="X806" s="5" t="str">
        <f ca="1">IF(INDIRECT("W806")="Clássico","13%",IF(INDIRECT("W806")="Premium","17%","-"))</f>
        <v>17%</v>
      </c>
      <c r="Y806" s="7" t="s">
        <v>62</v>
      </c>
    </row>
    <row r="807" spans="1:25" ht="50" customHeight="1" x14ac:dyDescent="0.25">
      <c r="A807" s="5" t="s">
        <v>3230</v>
      </c>
      <c r="B807" s="5" t="s">
        <v>3507</v>
      </c>
      <c r="C807" s="5" t="s">
        <v>3232</v>
      </c>
      <c r="D807" s="5"/>
      <c r="E807" s="6" t="s">
        <v>3233</v>
      </c>
      <c r="F807" s="5" t="s">
        <v>3508</v>
      </c>
      <c r="G807" s="5" t="s">
        <v>78</v>
      </c>
      <c r="H807" s="7">
        <v>23</v>
      </c>
      <c r="I807" s="7">
        <v>22.9</v>
      </c>
      <c r="J807" s="7" t="s">
        <v>58</v>
      </c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5" t="s">
        <v>59</v>
      </c>
      <c r="V807" s="7" t="s">
        <v>60</v>
      </c>
      <c r="W807" s="7" t="s">
        <v>61</v>
      </c>
      <c r="X807" s="5" t="str">
        <f ca="1">IF(INDIRECT("W807")="Clássico","13%",IF(INDIRECT("W807")="Premium","17%","-"))</f>
        <v>13%</v>
      </c>
      <c r="Y807" s="7" t="s">
        <v>62</v>
      </c>
    </row>
    <row r="808" spans="1:25" ht="50" customHeight="1" x14ac:dyDescent="0.25">
      <c r="A808" s="5" t="s">
        <v>3225</v>
      </c>
      <c r="B808" s="5" t="s">
        <v>3509</v>
      </c>
      <c r="C808" s="5" t="s">
        <v>3227</v>
      </c>
      <c r="D808" s="5"/>
      <c r="E808" s="6" t="s">
        <v>3228</v>
      </c>
      <c r="F808" s="5" t="s">
        <v>3510</v>
      </c>
      <c r="G808" s="5" t="s">
        <v>78</v>
      </c>
      <c r="H808" s="7">
        <v>24</v>
      </c>
      <c r="I808" s="7">
        <v>18.739999999999998</v>
      </c>
      <c r="J808" s="7" t="s">
        <v>58</v>
      </c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5" t="s">
        <v>59</v>
      </c>
      <c r="V808" s="7" t="s">
        <v>60</v>
      </c>
      <c r="W808" s="7" t="s">
        <v>61</v>
      </c>
      <c r="X808" s="5" t="str">
        <f ca="1">IF(INDIRECT("W808")="Clássico","12%",IF(INDIRECT("W808")="Premium","17%","-"))</f>
        <v>12%</v>
      </c>
      <c r="Y808" s="7" t="s">
        <v>62</v>
      </c>
    </row>
    <row r="809" spans="1:25" ht="50" customHeight="1" x14ac:dyDescent="0.25">
      <c r="A809" s="5" t="s">
        <v>3285</v>
      </c>
      <c r="B809" s="5" t="s">
        <v>3511</v>
      </c>
      <c r="C809" s="5" t="s">
        <v>3287</v>
      </c>
      <c r="D809" s="5"/>
      <c r="E809" s="6" t="s">
        <v>2118</v>
      </c>
      <c r="F809" s="5" t="s">
        <v>3512</v>
      </c>
      <c r="G809" s="5" t="s">
        <v>78</v>
      </c>
      <c r="H809" s="7">
        <v>11</v>
      </c>
      <c r="I809" s="7">
        <v>30.49</v>
      </c>
      <c r="J809" s="7" t="s">
        <v>58</v>
      </c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5" t="s">
        <v>59</v>
      </c>
      <c r="V809" s="7" t="s">
        <v>60</v>
      </c>
      <c r="W809" s="7" t="s">
        <v>84</v>
      </c>
      <c r="X809" s="5" t="str">
        <f ca="1">IF(INDIRECT("W809")="Clássico","13%",IF(INDIRECT("W809")="Premium","17%","-"))</f>
        <v>17%</v>
      </c>
      <c r="Y809" s="7" t="s">
        <v>62</v>
      </c>
    </row>
    <row r="810" spans="1:25" ht="50" customHeight="1" x14ac:dyDescent="0.25">
      <c r="A810" s="5" t="s">
        <v>515</v>
      </c>
      <c r="B810" s="5" t="s">
        <v>3513</v>
      </c>
      <c r="C810" s="5" t="s">
        <v>517</v>
      </c>
      <c r="D810" s="5"/>
      <c r="E810" s="6" t="s">
        <v>518</v>
      </c>
      <c r="F810" s="5" t="s">
        <v>519</v>
      </c>
      <c r="G810" s="5" t="s">
        <v>78</v>
      </c>
      <c r="H810" s="7">
        <v>12</v>
      </c>
      <c r="I810" s="7">
        <v>30.49</v>
      </c>
      <c r="J810" s="7" t="s">
        <v>58</v>
      </c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5" t="s">
        <v>59</v>
      </c>
      <c r="V810" s="7" t="s">
        <v>60</v>
      </c>
      <c r="W810" s="7" t="s">
        <v>61</v>
      </c>
      <c r="X810" s="5" t="str">
        <f ca="1">IF(INDIRECT("W810")="Clássico","13%",IF(INDIRECT("W810")="Premium","17%","-"))</f>
        <v>13%</v>
      </c>
      <c r="Y810" s="7" t="s">
        <v>62</v>
      </c>
    </row>
    <row r="811" spans="1:25" ht="50" customHeight="1" x14ac:dyDescent="0.25">
      <c r="A811" s="5" t="s">
        <v>192</v>
      </c>
      <c r="B811" s="5" t="s">
        <v>3514</v>
      </c>
      <c r="C811" s="5" t="s">
        <v>194</v>
      </c>
      <c r="D811" s="5"/>
      <c r="E811" s="6" t="s">
        <v>195</v>
      </c>
      <c r="F811" s="5" t="s">
        <v>3515</v>
      </c>
      <c r="G811" s="5" t="s">
        <v>78</v>
      </c>
      <c r="H811" s="7">
        <v>10</v>
      </c>
      <c r="I811" s="7">
        <v>58.49</v>
      </c>
      <c r="J811" s="7" t="s">
        <v>58</v>
      </c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5" t="s">
        <v>59</v>
      </c>
      <c r="V811" s="7" t="s">
        <v>60</v>
      </c>
      <c r="W811" s="7" t="s">
        <v>61</v>
      </c>
      <c r="X811" s="5" t="str">
        <f ca="1">IF(INDIRECT("W811")="Clássico","14%",IF(INDIRECT("W811")="Premium","19%","-"))</f>
        <v>14%</v>
      </c>
      <c r="Y811" s="7" t="s">
        <v>62</v>
      </c>
    </row>
    <row r="812" spans="1:25" ht="50" customHeight="1" x14ac:dyDescent="0.25">
      <c r="A812" s="5" t="s">
        <v>695</v>
      </c>
      <c r="B812" s="5" t="s">
        <v>3516</v>
      </c>
      <c r="C812" s="5" t="s">
        <v>697</v>
      </c>
      <c r="D812" s="5"/>
      <c r="E812" s="6" t="s">
        <v>698</v>
      </c>
      <c r="F812" s="5" t="s">
        <v>3517</v>
      </c>
      <c r="G812" s="5" t="s">
        <v>78</v>
      </c>
      <c r="H812" s="7">
        <v>2</v>
      </c>
      <c r="I812" s="7">
        <v>33.49</v>
      </c>
      <c r="J812" s="7" t="s">
        <v>58</v>
      </c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5" t="s">
        <v>59</v>
      </c>
      <c r="V812" s="7" t="s">
        <v>60</v>
      </c>
      <c r="W812" s="7" t="s">
        <v>61</v>
      </c>
      <c r="X812" s="5" t="str">
        <f ca="1">IF(INDIRECT("W812")="Clássico","13%",IF(INDIRECT("W812")="Premium","17%","-"))</f>
        <v>13%</v>
      </c>
      <c r="Y812" s="7" t="s">
        <v>62</v>
      </c>
    </row>
    <row r="813" spans="1:25" ht="50" customHeight="1" x14ac:dyDescent="0.25">
      <c r="A813" s="5" t="s">
        <v>543</v>
      </c>
      <c r="B813" s="5" t="s">
        <v>3518</v>
      </c>
      <c r="C813" s="5" t="s">
        <v>545</v>
      </c>
      <c r="D813" s="5"/>
      <c r="E813" s="6" t="s">
        <v>546</v>
      </c>
      <c r="F813" s="5" t="s">
        <v>3519</v>
      </c>
      <c r="G813" s="5" t="s">
        <v>78</v>
      </c>
      <c r="H813" s="7">
        <v>3</v>
      </c>
      <c r="I813" s="7">
        <v>33.49</v>
      </c>
      <c r="J813" s="7" t="s">
        <v>58</v>
      </c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5" t="s">
        <v>59</v>
      </c>
      <c r="V813" s="7" t="s">
        <v>60</v>
      </c>
      <c r="W813" s="7" t="s">
        <v>61</v>
      </c>
      <c r="X813" s="5" t="str">
        <f ca="1">IF(INDIRECT("W813")="Clássico","13%",IF(INDIRECT("W813")="Premium","17%","-"))</f>
        <v>13%</v>
      </c>
      <c r="Y813" s="7" t="s">
        <v>62</v>
      </c>
    </row>
    <row r="814" spans="1:25" ht="50" customHeight="1" x14ac:dyDescent="0.25">
      <c r="A814" s="5" t="s">
        <v>578</v>
      </c>
      <c r="B814" s="5" t="s">
        <v>3520</v>
      </c>
      <c r="C814" s="5" t="s">
        <v>580</v>
      </c>
      <c r="D814" s="5"/>
      <c r="E814" s="6" t="s">
        <v>581</v>
      </c>
      <c r="F814" s="5" t="s">
        <v>3521</v>
      </c>
      <c r="G814" s="5" t="s">
        <v>78</v>
      </c>
      <c r="H814" s="7">
        <v>10</v>
      </c>
      <c r="I814" s="7">
        <v>19.489999999999998</v>
      </c>
      <c r="J814" s="7" t="s">
        <v>58</v>
      </c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5" t="s">
        <v>59</v>
      </c>
      <c r="V814" s="7" t="s">
        <v>60</v>
      </c>
      <c r="W814" s="7" t="s">
        <v>61</v>
      </c>
      <c r="X814" s="5" t="str">
        <f ca="1">IF(INDIRECT("W814")="Clássico","12%",IF(INDIRECT("W814")="Premium","17%","-"))</f>
        <v>12%</v>
      </c>
      <c r="Y814" s="7" t="s">
        <v>62</v>
      </c>
    </row>
    <row r="815" spans="1:25" ht="50" customHeight="1" x14ac:dyDescent="0.25">
      <c r="A815" s="5" t="s">
        <v>633</v>
      </c>
      <c r="B815" s="5" t="s">
        <v>3522</v>
      </c>
      <c r="C815" s="5" t="s">
        <v>635</v>
      </c>
      <c r="D815" s="5"/>
      <c r="E815" s="6" t="s">
        <v>636</v>
      </c>
      <c r="F815" s="5" t="s">
        <v>3523</v>
      </c>
      <c r="G815" s="5" t="s">
        <v>78</v>
      </c>
      <c r="H815" s="7">
        <v>11</v>
      </c>
      <c r="I815" s="7">
        <v>26.49</v>
      </c>
      <c r="J815" s="7" t="s">
        <v>58</v>
      </c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5" t="s">
        <v>59</v>
      </c>
      <c r="V815" s="7" t="s">
        <v>101</v>
      </c>
      <c r="W815" s="7" t="s">
        <v>61</v>
      </c>
      <c r="X815" s="5" t="str">
        <f ca="1">IF(INDIRECT("W815")="Clássico","13%",IF(INDIRECT("W815")="Premium","17%","-"))</f>
        <v>13%</v>
      </c>
      <c r="Y815" s="7" t="s">
        <v>62</v>
      </c>
    </row>
    <row r="816" spans="1:25" ht="50" customHeight="1" x14ac:dyDescent="0.25">
      <c r="A816" s="5" t="s">
        <v>659</v>
      </c>
      <c r="B816" s="5" t="s">
        <v>3524</v>
      </c>
      <c r="C816" s="5" t="s">
        <v>661</v>
      </c>
      <c r="D816" s="5"/>
      <c r="E816" s="6" t="s">
        <v>662</v>
      </c>
      <c r="F816" s="5" t="s">
        <v>3525</v>
      </c>
      <c r="G816" s="5" t="s">
        <v>78</v>
      </c>
      <c r="H816" s="7">
        <v>12</v>
      </c>
      <c r="I816" s="7">
        <v>26.49</v>
      </c>
      <c r="J816" s="7" t="s">
        <v>58</v>
      </c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5" t="s">
        <v>59</v>
      </c>
      <c r="V816" s="7" t="s">
        <v>101</v>
      </c>
      <c r="W816" s="7" t="s">
        <v>61</v>
      </c>
      <c r="X816" s="5" t="str">
        <f ca="1">IF(INDIRECT("W816")="Clássico","13%",IF(INDIRECT("W816")="Premium","17%","-"))</f>
        <v>13%</v>
      </c>
      <c r="Y816" s="7" t="s">
        <v>62</v>
      </c>
    </row>
    <row r="817" spans="1:25" ht="50" customHeight="1" x14ac:dyDescent="0.25">
      <c r="A817" s="5" t="s">
        <v>685</v>
      </c>
      <c r="B817" s="5" t="s">
        <v>3526</v>
      </c>
      <c r="C817" s="5" t="s">
        <v>687</v>
      </c>
      <c r="D817" s="5"/>
      <c r="E817" s="6" t="s">
        <v>688</v>
      </c>
      <c r="F817" s="5" t="s">
        <v>3527</v>
      </c>
      <c r="G817" s="5" t="s">
        <v>78</v>
      </c>
      <c r="H817" s="7">
        <v>12</v>
      </c>
      <c r="I817" s="7">
        <v>26.49</v>
      </c>
      <c r="J817" s="7" t="s">
        <v>58</v>
      </c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5" t="s">
        <v>59</v>
      </c>
      <c r="V817" s="7" t="s">
        <v>101</v>
      </c>
      <c r="W817" s="7" t="s">
        <v>61</v>
      </c>
      <c r="X817" s="5" t="str">
        <f ca="1">IF(INDIRECT("W817")="Clássico","13%",IF(INDIRECT("W817")="Premium","17%","-"))</f>
        <v>13%</v>
      </c>
      <c r="Y817" s="7" t="s">
        <v>62</v>
      </c>
    </row>
    <row r="818" spans="1:25" ht="50" customHeight="1" x14ac:dyDescent="0.25">
      <c r="A818" s="5" t="s">
        <v>811</v>
      </c>
      <c r="B818" s="5" t="s">
        <v>3528</v>
      </c>
      <c r="C818" s="5" t="s">
        <v>813</v>
      </c>
      <c r="D818" s="5"/>
      <c r="E818" s="6" t="s">
        <v>814</v>
      </c>
      <c r="F818" s="5" t="s">
        <v>2474</v>
      </c>
      <c r="G818" s="5" t="s">
        <v>78</v>
      </c>
      <c r="H818" s="7">
        <v>5</v>
      </c>
      <c r="I818" s="7">
        <v>26.49</v>
      </c>
      <c r="J818" s="7" t="s">
        <v>58</v>
      </c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5" t="s">
        <v>59</v>
      </c>
      <c r="V818" s="7" t="s">
        <v>60</v>
      </c>
      <c r="W818" s="7" t="s">
        <v>61</v>
      </c>
      <c r="X818" s="5" t="str">
        <f ca="1">IF(INDIRECT("W818")="Clássico","13%",IF(INDIRECT("W818")="Premium","17%","-"))</f>
        <v>13%</v>
      </c>
      <c r="Y818" s="7" t="s">
        <v>62</v>
      </c>
    </row>
    <row r="819" spans="1:25" ht="50" customHeight="1" x14ac:dyDescent="0.25">
      <c r="A819" s="5" t="s">
        <v>851</v>
      </c>
      <c r="B819" s="5" t="s">
        <v>3529</v>
      </c>
      <c r="C819" s="5" t="s">
        <v>853</v>
      </c>
      <c r="D819" s="5"/>
      <c r="E819" s="6" t="s">
        <v>854</v>
      </c>
      <c r="F819" s="5" t="s">
        <v>3530</v>
      </c>
      <c r="G819" s="5" t="s">
        <v>78</v>
      </c>
      <c r="H819" s="7">
        <v>3</v>
      </c>
      <c r="I819" s="7">
        <v>33.49</v>
      </c>
      <c r="J819" s="7" t="s">
        <v>58</v>
      </c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5" t="s">
        <v>59</v>
      </c>
      <c r="V819" s="7" t="s">
        <v>60</v>
      </c>
      <c r="W819" s="7" t="s">
        <v>61</v>
      </c>
      <c r="X819" s="5" t="str">
        <f ca="1">IF(INDIRECT("W819")="Clássico","13%",IF(INDIRECT("W819")="Premium","17%","-"))</f>
        <v>13%</v>
      </c>
      <c r="Y819" s="7" t="s">
        <v>62</v>
      </c>
    </row>
    <row r="820" spans="1:25" ht="50" customHeight="1" x14ac:dyDescent="0.25">
      <c r="A820" s="5" t="s">
        <v>995</v>
      </c>
      <c r="B820" s="5" t="s">
        <v>3531</v>
      </c>
      <c r="C820" s="5" t="s">
        <v>997</v>
      </c>
      <c r="D820" s="5"/>
      <c r="E820" s="6" t="s">
        <v>998</v>
      </c>
      <c r="F820" s="5" t="s">
        <v>3532</v>
      </c>
      <c r="G820" s="5" t="s">
        <v>78</v>
      </c>
      <c r="H820" s="7">
        <v>12</v>
      </c>
      <c r="I820" s="7">
        <v>26.49</v>
      </c>
      <c r="J820" s="7" t="s">
        <v>58</v>
      </c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5" t="s">
        <v>59</v>
      </c>
      <c r="V820" s="7" t="s">
        <v>101</v>
      </c>
      <c r="W820" s="7" t="s">
        <v>61</v>
      </c>
      <c r="X820" s="5" t="str">
        <f ca="1">IF(INDIRECT("W820")="Clássico","13%",IF(INDIRECT("W820")="Premium","17%","-"))</f>
        <v>13%</v>
      </c>
      <c r="Y820" s="7" t="s">
        <v>62</v>
      </c>
    </row>
    <row r="821" spans="1:25" ht="50" customHeight="1" x14ac:dyDescent="0.25">
      <c r="A821" s="5" t="s">
        <v>1026</v>
      </c>
      <c r="B821" s="5" t="s">
        <v>3533</v>
      </c>
      <c r="C821" s="5" t="s">
        <v>1028</v>
      </c>
      <c r="D821" s="5"/>
      <c r="E821" s="6" t="s">
        <v>1029</v>
      </c>
      <c r="F821" s="5" t="s">
        <v>3534</v>
      </c>
      <c r="G821" s="5" t="s">
        <v>78</v>
      </c>
      <c r="H821" s="7">
        <v>12</v>
      </c>
      <c r="I821" s="7">
        <v>26.49</v>
      </c>
      <c r="J821" s="7" t="s">
        <v>58</v>
      </c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5" t="s">
        <v>59</v>
      </c>
      <c r="V821" s="7" t="s">
        <v>101</v>
      </c>
      <c r="W821" s="7" t="s">
        <v>61</v>
      </c>
      <c r="X821" s="5" t="str">
        <f ca="1">IF(INDIRECT("W821")="Clássico","13%",IF(INDIRECT("W821")="Premium","17%","-"))</f>
        <v>13%</v>
      </c>
      <c r="Y821" s="7" t="s">
        <v>62</v>
      </c>
    </row>
    <row r="822" spans="1:25" ht="50" customHeight="1" x14ac:dyDescent="0.25">
      <c r="A822" s="5" t="s">
        <v>1101</v>
      </c>
      <c r="B822" s="5" t="s">
        <v>3535</v>
      </c>
      <c r="C822" s="5" t="s">
        <v>1103</v>
      </c>
      <c r="D822" s="5"/>
      <c r="E822" s="6" t="s">
        <v>1104</v>
      </c>
      <c r="F822" s="5" t="s">
        <v>3536</v>
      </c>
      <c r="G822" s="5" t="s">
        <v>78</v>
      </c>
      <c r="H822" s="7">
        <v>8</v>
      </c>
      <c r="I822" s="7">
        <v>207.49</v>
      </c>
      <c r="J822" s="7" t="s">
        <v>58</v>
      </c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5" t="s">
        <v>59</v>
      </c>
      <c r="V822" s="7" t="s">
        <v>129</v>
      </c>
      <c r="W822" s="7" t="s">
        <v>84</v>
      </c>
      <c r="X822" s="5" t="str">
        <f ca="1">IF(INDIRECT("W822")="Clássico","14%",IF(INDIRECT("W822")="Premium","19%","-"))</f>
        <v>19%</v>
      </c>
      <c r="Y822" s="7" t="s">
        <v>62</v>
      </c>
    </row>
    <row r="823" spans="1:25" ht="50" customHeight="1" x14ac:dyDescent="0.25">
      <c r="A823" s="5" t="s">
        <v>1127</v>
      </c>
      <c r="B823" s="5" t="s">
        <v>3537</v>
      </c>
      <c r="C823" s="5" t="s">
        <v>1129</v>
      </c>
      <c r="D823" s="5"/>
      <c r="E823" s="6" t="s">
        <v>1130</v>
      </c>
      <c r="F823" s="5" t="s">
        <v>3538</v>
      </c>
      <c r="G823" s="5" t="s">
        <v>78</v>
      </c>
      <c r="H823" s="7">
        <v>12</v>
      </c>
      <c r="I823" s="7">
        <v>26.49</v>
      </c>
      <c r="J823" s="7" t="s">
        <v>58</v>
      </c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5" t="s">
        <v>59</v>
      </c>
      <c r="V823" s="7" t="s">
        <v>101</v>
      </c>
      <c r="W823" s="7" t="s">
        <v>61</v>
      </c>
      <c r="X823" s="5" t="str">
        <f ca="1">IF(INDIRECT("W823")="Clássico","13%",IF(INDIRECT("W823")="Premium","17%","-"))</f>
        <v>13%</v>
      </c>
      <c r="Y823" s="7" t="s">
        <v>62</v>
      </c>
    </row>
    <row r="824" spans="1:25" ht="50" customHeight="1" x14ac:dyDescent="0.25">
      <c r="A824" s="5" t="s">
        <v>1843</v>
      </c>
      <c r="B824" s="5" t="s">
        <v>3539</v>
      </c>
      <c r="C824" s="5" t="s">
        <v>1845</v>
      </c>
      <c r="D824" s="5"/>
      <c r="E824" s="6" t="s">
        <v>1846</v>
      </c>
      <c r="F824" s="5" t="s">
        <v>3540</v>
      </c>
      <c r="G824" s="5" t="s">
        <v>78</v>
      </c>
      <c r="H824" s="7">
        <v>8</v>
      </c>
      <c r="I824" s="7">
        <v>255.49</v>
      </c>
      <c r="J824" s="7" t="s">
        <v>58</v>
      </c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5" t="s">
        <v>59</v>
      </c>
      <c r="V824" s="7" t="s">
        <v>129</v>
      </c>
      <c r="W824" s="7" t="s">
        <v>84</v>
      </c>
      <c r="X824" s="5" t="str">
        <f ca="1">IF(INDIRECT("W824")="Clássico","14%",IF(INDIRECT("W824")="Premium","19%","-"))</f>
        <v>19%</v>
      </c>
      <c r="Y824" s="7" t="s">
        <v>62</v>
      </c>
    </row>
    <row r="825" spans="1:25" ht="50" customHeight="1" x14ac:dyDescent="0.25">
      <c r="A825" s="5" t="s">
        <v>1853</v>
      </c>
      <c r="B825" s="5" t="s">
        <v>3541</v>
      </c>
      <c r="C825" s="5" t="s">
        <v>1855</v>
      </c>
      <c r="D825" s="5"/>
      <c r="E825" s="6" t="s">
        <v>1856</v>
      </c>
      <c r="F825" s="5" t="s">
        <v>3542</v>
      </c>
      <c r="G825" s="5" t="s">
        <v>78</v>
      </c>
      <c r="H825" s="7">
        <v>10</v>
      </c>
      <c r="I825" s="7">
        <v>30.49</v>
      </c>
      <c r="J825" s="7" t="s">
        <v>58</v>
      </c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5" t="s">
        <v>59</v>
      </c>
      <c r="V825" s="7" t="s">
        <v>60</v>
      </c>
      <c r="W825" s="7" t="s">
        <v>61</v>
      </c>
      <c r="X825" s="5" t="str">
        <f ca="1">IF(INDIRECT("W825")="Clássico","13%",IF(INDIRECT("W825")="Premium","17%","-"))</f>
        <v>13%</v>
      </c>
      <c r="Y825" s="7" t="s">
        <v>62</v>
      </c>
    </row>
    <row r="826" spans="1:25" ht="50" customHeight="1" x14ac:dyDescent="0.25">
      <c r="A826" s="5" t="s">
        <v>1875</v>
      </c>
      <c r="B826" s="5" t="s">
        <v>3543</v>
      </c>
      <c r="C826" s="5" t="s">
        <v>1877</v>
      </c>
      <c r="D826" s="5"/>
      <c r="E826" s="6" t="s">
        <v>1878</v>
      </c>
      <c r="F826" s="5" t="s">
        <v>3544</v>
      </c>
      <c r="G826" s="5" t="s">
        <v>78</v>
      </c>
      <c r="H826" s="7">
        <v>6</v>
      </c>
      <c r="I826" s="7">
        <v>93.49</v>
      </c>
      <c r="J826" s="7" t="s">
        <v>58</v>
      </c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5" t="s">
        <v>59</v>
      </c>
      <c r="V826" s="7" t="s">
        <v>129</v>
      </c>
      <c r="W826" s="7" t="s">
        <v>61</v>
      </c>
      <c r="X826" s="5" t="str">
        <f ca="1">IF(INDIRECT("W826")="Clássico","14%",IF(INDIRECT("W826")="Premium","19%","-"))</f>
        <v>14%</v>
      </c>
      <c r="Y826" s="7" t="s">
        <v>62</v>
      </c>
    </row>
    <row r="827" spans="1:25" ht="50" customHeight="1" x14ac:dyDescent="0.25">
      <c r="A827" s="5" t="s">
        <v>1988</v>
      </c>
      <c r="B827" s="5" t="s">
        <v>3545</v>
      </c>
      <c r="C827" s="5" t="s">
        <v>1990</v>
      </c>
      <c r="D827" s="5"/>
      <c r="E827" s="6" t="s">
        <v>1991</v>
      </c>
      <c r="F827" s="5" t="s">
        <v>3546</v>
      </c>
      <c r="G827" s="5" t="s">
        <v>78</v>
      </c>
      <c r="H827" s="7">
        <v>24</v>
      </c>
      <c r="I827" s="7">
        <v>22.49</v>
      </c>
      <c r="J827" s="7" t="s">
        <v>58</v>
      </c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5" t="s">
        <v>59</v>
      </c>
      <c r="V827" s="7" t="s">
        <v>60</v>
      </c>
      <c r="W827" s="7" t="s">
        <v>61</v>
      </c>
      <c r="X827" s="5" t="str">
        <f ca="1">IF(INDIRECT("W827")="Clássico","13%",IF(INDIRECT("W827")="Premium","17%","-"))</f>
        <v>13%</v>
      </c>
      <c r="Y827" s="7" t="s">
        <v>62</v>
      </c>
    </row>
    <row r="828" spans="1:25" ht="50" customHeight="1" x14ac:dyDescent="0.25">
      <c r="A828" s="5" t="s">
        <v>2007</v>
      </c>
      <c r="B828" s="5" t="s">
        <v>3547</v>
      </c>
      <c r="C828" s="5" t="s">
        <v>2009</v>
      </c>
      <c r="D828" s="5"/>
      <c r="E828" s="6" t="s">
        <v>2010</v>
      </c>
      <c r="F828" s="5" t="s">
        <v>3548</v>
      </c>
      <c r="G828" s="5" t="s">
        <v>78</v>
      </c>
      <c r="H828" s="7">
        <v>24</v>
      </c>
      <c r="I828" s="7">
        <v>26.49</v>
      </c>
      <c r="J828" s="7" t="s">
        <v>58</v>
      </c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5" t="s">
        <v>59</v>
      </c>
      <c r="V828" s="7" t="s">
        <v>101</v>
      </c>
      <c r="W828" s="7" t="s">
        <v>61</v>
      </c>
      <c r="X828" s="5" t="str">
        <f ca="1">IF(INDIRECT("W828")="Clássico","13%",IF(INDIRECT("W828")="Premium","17%","-"))</f>
        <v>13%</v>
      </c>
      <c r="Y828" s="7" t="s">
        <v>62</v>
      </c>
    </row>
    <row r="829" spans="1:25" ht="50" customHeight="1" x14ac:dyDescent="0.25">
      <c r="A829" s="5" t="s">
        <v>2075</v>
      </c>
      <c r="B829" s="5" t="s">
        <v>3549</v>
      </c>
      <c r="C829" s="5" t="s">
        <v>2077</v>
      </c>
      <c r="D829" s="5"/>
      <c r="E829" s="6" t="s">
        <v>2078</v>
      </c>
      <c r="F829" s="5" t="s">
        <v>3550</v>
      </c>
      <c r="G829" s="5" t="s">
        <v>78</v>
      </c>
      <c r="H829" s="7">
        <v>9</v>
      </c>
      <c r="I829" s="7">
        <v>37.49</v>
      </c>
      <c r="J829" s="7" t="s">
        <v>58</v>
      </c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5" t="s">
        <v>59</v>
      </c>
      <c r="V829" s="7" t="s">
        <v>60</v>
      </c>
      <c r="W829" s="7" t="s">
        <v>61</v>
      </c>
      <c r="X829" s="5" t="str">
        <f ca="1">IF(INDIRECT("W829")="Clássico","13%",IF(INDIRECT("W829")="Premium","17%","-"))</f>
        <v>13%</v>
      </c>
      <c r="Y829" s="7" t="s">
        <v>62</v>
      </c>
    </row>
    <row r="830" spans="1:25" ht="50" customHeight="1" x14ac:dyDescent="0.25">
      <c r="A830" s="5" t="s">
        <v>2155</v>
      </c>
      <c r="B830" s="5" t="s">
        <v>3551</v>
      </c>
      <c r="C830" s="5" t="s">
        <v>2157</v>
      </c>
      <c r="D830" s="5"/>
      <c r="E830" s="6" t="s">
        <v>2158</v>
      </c>
      <c r="F830" s="5" t="s">
        <v>3552</v>
      </c>
      <c r="G830" s="5" t="s">
        <v>78</v>
      </c>
      <c r="H830" s="7">
        <v>32</v>
      </c>
      <c r="I830" s="7">
        <v>20.49</v>
      </c>
      <c r="J830" s="7" t="s">
        <v>58</v>
      </c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5" t="s">
        <v>59</v>
      </c>
      <c r="V830" s="7" t="s">
        <v>60</v>
      </c>
      <c r="W830" s="7" t="s">
        <v>61</v>
      </c>
      <c r="X830" s="5" t="str">
        <f ca="1">IF(INDIRECT("W830")="Clássico","13%",IF(INDIRECT("W830")="Premium","17%","-"))</f>
        <v>13%</v>
      </c>
      <c r="Y830" s="7" t="s">
        <v>62</v>
      </c>
    </row>
    <row r="831" spans="1:25" ht="50" customHeight="1" x14ac:dyDescent="0.25">
      <c r="A831" s="5" t="s">
        <v>2280</v>
      </c>
      <c r="B831" s="5" t="s">
        <v>3553</v>
      </c>
      <c r="C831" s="5" t="s">
        <v>2282</v>
      </c>
      <c r="D831" s="5"/>
      <c r="E831" s="6" t="s">
        <v>2283</v>
      </c>
      <c r="F831" s="5" t="s">
        <v>3554</v>
      </c>
      <c r="G831" s="5" t="s">
        <v>78</v>
      </c>
      <c r="H831" s="7">
        <v>8</v>
      </c>
      <c r="I831" s="7">
        <v>28.49</v>
      </c>
      <c r="J831" s="7" t="s">
        <v>58</v>
      </c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5" t="s">
        <v>59</v>
      </c>
      <c r="V831" s="7" t="s">
        <v>60</v>
      </c>
      <c r="W831" s="7" t="s">
        <v>61</v>
      </c>
      <c r="X831" s="5" t="str">
        <f ca="1">IF(INDIRECT("W831")="Clássico","13%",IF(INDIRECT("W831")="Premium","17%","-"))</f>
        <v>13%</v>
      </c>
      <c r="Y831" s="7" t="s">
        <v>62</v>
      </c>
    </row>
    <row r="832" spans="1:25" ht="50" customHeight="1" x14ac:dyDescent="0.25">
      <c r="A832" s="5" t="s">
        <v>2400</v>
      </c>
      <c r="B832" s="5" t="s">
        <v>3555</v>
      </c>
      <c r="C832" s="5" t="s">
        <v>2402</v>
      </c>
      <c r="D832" s="5"/>
      <c r="E832" s="6" t="s">
        <v>2403</v>
      </c>
      <c r="F832" s="5" t="s">
        <v>3556</v>
      </c>
      <c r="G832" s="5" t="s">
        <v>78</v>
      </c>
      <c r="H832" s="7">
        <v>5</v>
      </c>
      <c r="I832" s="7">
        <v>26.49</v>
      </c>
      <c r="J832" s="7" t="s">
        <v>58</v>
      </c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5" t="s">
        <v>59</v>
      </c>
      <c r="V832" s="7" t="s">
        <v>60</v>
      </c>
      <c r="W832" s="7" t="s">
        <v>61</v>
      </c>
      <c r="X832" s="5" t="str">
        <f ca="1">IF(INDIRECT("W832")="Clássico","14%",IF(INDIRECT("W832")="Premium","19%","-"))</f>
        <v>14%</v>
      </c>
      <c r="Y832" s="7" t="s">
        <v>62</v>
      </c>
    </row>
    <row r="833" spans="1:25" ht="50" customHeight="1" x14ac:dyDescent="0.25">
      <c r="A833" s="5" t="s">
        <v>2502</v>
      </c>
      <c r="B833" s="5" t="s">
        <v>3557</v>
      </c>
      <c r="C833" s="5" t="s">
        <v>2504</v>
      </c>
      <c r="D833" s="5"/>
      <c r="E833" s="6" t="s">
        <v>2505</v>
      </c>
      <c r="F833" s="5" t="s">
        <v>2474</v>
      </c>
      <c r="G833" s="5" t="s">
        <v>78</v>
      </c>
      <c r="H833" s="7">
        <v>15</v>
      </c>
      <c r="I833" s="7">
        <v>26.49</v>
      </c>
      <c r="J833" s="7" t="s">
        <v>58</v>
      </c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5" t="s">
        <v>59</v>
      </c>
      <c r="V833" s="7" t="s">
        <v>60</v>
      </c>
      <c r="W833" s="7" t="s">
        <v>61</v>
      </c>
      <c r="X833" s="5" t="str">
        <f ca="1">IF(INDIRECT("W833")="Clássico","13%",IF(INDIRECT("W833")="Premium","17%","-"))</f>
        <v>13%</v>
      </c>
      <c r="Y833" s="7" t="s">
        <v>62</v>
      </c>
    </row>
    <row r="834" spans="1:25" ht="50" customHeight="1" x14ac:dyDescent="0.25">
      <c r="A834" s="5" t="s">
        <v>2928</v>
      </c>
      <c r="B834" s="5" t="s">
        <v>3558</v>
      </c>
      <c r="C834" s="5" t="s">
        <v>2930</v>
      </c>
      <c r="D834" s="5"/>
      <c r="E834" s="6" t="s">
        <v>2931</v>
      </c>
      <c r="F834" s="5" t="s">
        <v>3559</v>
      </c>
      <c r="G834" s="5" t="s">
        <v>78</v>
      </c>
      <c r="H834" s="7">
        <v>10</v>
      </c>
      <c r="I834" s="7">
        <v>26.49</v>
      </c>
      <c r="J834" s="7" t="s">
        <v>58</v>
      </c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5" t="s">
        <v>59</v>
      </c>
      <c r="V834" s="7" t="s">
        <v>101</v>
      </c>
      <c r="W834" s="7" t="s">
        <v>61</v>
      </c>
      <c r="X834" s="5" t="str">
        <f ca="1">IF(INDIRECT("W834")="Clássico","13%",IF(INDIRECT("W834")="Premium","17%","-"))</f>
        <v>13%</v>
      </c>
      <c r="Y834" s="7" t="s">
        <v>62</v>
      </c>
    </row>
    <row r="835" spans="1:25" ht="50" customHeight="1" x14ac:dyDescent="0.25">
      <c r="A835" s="5" t="s">
        <v>2918</v>
      </c>
      <c r="B835" s="5" t="s">
        <v>3560</v>
      </c>
      <c r="C835" s="5" t="s">
        <v>3078</v>
      </c>
      <c r="D835" s="5"/>
      <c r="E835" s="6" t="s">
        <v>2921</v>
      </c>
      <c r="F835" s="5" t="s">
        <v>3561</v>
      </c>
      <c r="G835" s="5" t="s">
        <v>78</v>
      </c>
      <c r="H835" s="7">
        <v>10</v>
      </c>
      <c r="I835" s="7">
        <v>23.9</v>
      </c>
      <c r="J835" s="7" t="s">
        <v>58</v>
      </c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5" t="s">
        <v>59</v>
      </c>
      <c r="V835" s="7" t="s">
        <v>101</v>
      </c>
      <c r="W835" s="7" t="s">
        <v>84</v>
      </c>
      <c r="X835" s="5" t="str">
        <f ca="1">IF(INDIRECT("W835")="Clássico","13%",IF(INDIRECT("W835")="Premium","17%","-"))</f>
        <v>17%</v>
      </c>
      <c r="Y835" s="7" t="s">
        <v>62</v>
      </c>
    </row>
    <row r="836" spans="1:25" ht="50" customHeight="1" x14ac:dyDescent="0.25">
      <c r="A836" s="5" t="s">
        <v>3080</v>
      </c>
      <c r="B836" s="5" t="s">
        <v>3562</v>
      </c>
      <c r="C836" s="5" t="s">
        <v>3082</v>
      </c>
      <c r="D836" s="5"/>
      <c r="E836" s="6" t="s">
        <v>3083</v>
      </c>
      <c r="F836" s="5" t="s">
        <v>3563</v>
      </c>
      <c r="G836" s="5" t="s">
        <v>78</v>
      </c>
      <c r="H836" s="7">
        <v>10</v>
      </c>
      <c r="I836" s="7">
        <v>20.94</v>
      </c>
      <c r="J836" s="7" t="s">
        <v>58</v>
      </c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5" t="s">
        <v>59</v>
      </c>
      <c r="V836" s="7" t="s">
        <v>101</v>
      </c>
      <c r="W836" s="7" t="s">
        <v>61</v>
      </c>
      <c r="X836" s="5" t="str">
        <f ca="1">IF(INDIRECT("W836")="Clássico","13%",IF(INDIRECT("W836")="Premium","17%","-"))</f>
        <v>13%</v>
      </c>
      <c r="Y836" s="7" t="s">
        <v>62</v>
      </c>
    </row>
    <row r="837" spans="1:25" ht="50" customHeight="1" x14ac:dyDescent="0.25">
      <c r="A837" s="5" t="s">
        <v>3109</v>
      </c>
      <c r="B837" s="5" t="s">
        <v>3564</v>
      </c>
      <c r="C837" s="5" t="s">
        <v>3111</v>
      </c>
      <c r="D837" s="5"/>
      <c r="E837" s="6" t="s">
        <v>3112</v>
      </c>
      <c r="F837" s="5" t="s">
        <v>3565</v>
      </c>
      <c r="G837" s="5" t="s">
        <v>78</v>
      </c>
      <c r="H837" s="7">
        <v>24</v>
      </c>
      <c r="I837" s="7">
        <v>16.239999999999998</v>
      </c>
      <c r="J837" s="7" t="s">
        <v>58</v>
      </c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5" t="s">
        <v>59</v>
      </c>
      <c r="V837" s="7" t="s">
        <v>60</v>
      </c>
      <c r="W837" s="7" t="s">
        <v>61</v>
      </c>
      <c r="X837" s="5" t="str">
        <f ca="1">IF(INDIRECT("W837")="Clássico","12%",IF(INDIRECT("W837")="Premium","17%","-"))</f>
        <v>12%</v>
      </c>
      <c r="Y837" s="7" t="s">
        <v>62</v>
      </c>
    </row>
    <row r="838" spans="1:25" ht="50" customHeight="1" x14ac:dyDescent="0.25">
      <c r="A838" s="5" t="s">
        <v>1026</v>
      </c>
      <c r="B838" s="5" t="s">
        <v>3566</v>
      </c>
      <c r="C838" s="5" t="s">
        <v>3094</v>
      </c>
      <c r="D838" s="5"/>
      <c r="E838" s="6" t="s">
        <v>1029</v>
      </c>
      <c r="F838" s="5" t="s">
        <v>3534</v>
      </c>
      <c r="G838" s="5" t="s">
        <v>78</v>
      </c>
      <c r="H838" s="7">
        <v>11</v>
      </c>
      <c r="I838" s="7">
        <v>20.94</v>
      </c>
      <c r="J838" s="7" t="s">
        <v>58</v>
      </c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5" t="s">
        <v>59</v>
      </c>
      <c r="V838" s="7" t="s">
        <v>101</v>
      </c>
      <c r="W838" s="7" t="s">
        <v>84</v>
      </c>
      <c r="X838" s="5" t="str">
        <f ca="1">IF(INDIRECT("W838")="Clássico","13%",IF(INDIRECT("W838")="Premium","17%","-"))</f>
        <v>17%</v>
      </c>
      <c r="Y838" s="7" t="s">
        <v>62</v>
      </c>
    </row>
    <row r="839" spans="1:25" ht="50" customHeight="1" x14ac:dyDescent="0.25">
      <c r="A839" s="5" t="s">
        <v>3125</v>
      </c>
      <c r="B839" s="5" t="s">
        <v>3567</v>
      </c>
      <c r="C839" s="5" t="s">
        <v>3127</v>
      </c>
      <c r="D839" s="5"/>
      <c r="E839" s="6" t="s">
        <v>3128</v>
      </c>
      <c r="F839" s="5" t="s">
        <v>3568</v>
      </c>
      <c r="G839" s="5" t="s">
        <v>78</v>
      </c>
      <c r="H839" s="7">
        <v>7</v>
      </c>
      <c r="I839" s="7">
        <v>32.4</v>
      </c>
      <c r="J839" s="7" t="s">
        <v>58</v>
      </c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5" t="s">
        <v>59</v>
      </c>
      <c r="V839" s="7" t="s">
        <v>1526</v>
      </c>
      <c r="W839" s="7" t="s">
        <v>84</v>
      </c>
      <c r="X839" s="5" t="str">
        <f ca="1">IF(INDIRECT("W839")="Clássico","13%",IF(INDIRECT("W839")="Premium","17%","-"))</f>
        <v>17%</v>
      </c>
      <c r="Y839" s="7" t="s">
        <v>62</v>
      </c>
    </row>
    <row r="840" spans="1:25" ht="50" customHeight="1" x14ac:dyDescent="0.25">
      <c r="A840" s="5" t="s">
        <v>3141</v>
      </c>
      <c r="B840" s="5" t="s">
        <v>3569</v>
      </c>
      <c r="C840" s="5" t="s">
        <v>3143</v>
      </c>
      <c r="D840" s="5"/>
      <c r="E840" s="6" t="s">
        <v>3144</v>
      </c>
      <c r="F840" s="5" t="s">
        <v>3570</v>
      </c>
      <c r="G840" s="5" t="s">
        <v>78</v>
      </c>
      <c r="H840" s="7">
        <v>24</v>
      </c>
      <c r="I840" s="7">
        <v>32.49</v>
      </c>
      <c r="J840" s="7" t="s">
        <v>58</v>
      </c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5" t="s">
        <v>59</v>
      </c>
      <c r="V840" s="7" t="s">
        <v>1526</v>
      </c>
      <c r="W840" s="7" t="s">
        <v>84</v>
      </c>
      <c r="X840" s="5" t="str">
        <f ca="1">IF(INDIRECT("W840")="Clássico","13%",IF(INDIRECT("W840")="Premium","17%","-"))</f>
        <v>17%</v>
      </c>
      <c r="Y840" s="7" t="s">
        <v>62</v>
      </c>
    </row>
    <row r="841" spans="1:25" ht="50" customHeight="1" x14ac:dyDescent="0.25">
      <c r="A841" s="5" t="s">
        <v>2848</v>
      </c>
      <c r="B841" s="5" t="s">
        <v>3571</v>
      </c>
      <c r="C841" s="5" t="s">
        <v>2850</v>
      </c>
      <c r="D841" s="5"/>
      <c r="E841" s="6" t="s">
        <v>2851</v>
      </c>
      <c r="F841" s="5" t="s">
        <v>3572</v>
      </c>
      <c r="G841" s="5" t="s">
        <v>78</v>
      </c>
      <c r="H841" s="7">
        <v>12</v>
      </c>
      <c r="I841" s="7">
        <v>24.49</v>
      </c>
      <c r="J841" s="7" t="s">
        <v>58</v>
      </c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5" t="s">
        <v>59</v>
      </c>
      <c r="V841" s="7" t="s">
        <v>60</v>
      </c>
      <c r="W841" s="7" t="s">
        <v>61</v>
      </c>
      <c r="X841" s="5" t="str">
        <f ca="1">IF(INDIRECT("W841")="Clássico","13%",IF(INDIRECT("W841")="Premium","17%","-"))</f>
        <v>13%</v>
      </c>
      <c r="Y841" s="7" t="s">
        <v>62</v>
      </c>
    </row>
    <row r="842" spans="1:25" ht="50" customHeight="1" x14ac:dyDescent="0.25">
      <c r="A842" s="5" t="s">
        <v>2790</v>
      </c>
      <c r="B842" s="5" t="s">
        <v>3573</v>
      </c>
      <c r="C842" s="5" t="s">
        <v>2792</v>
      </c>
      <c r="D842" s="5"/>
      <c r="E842" s="6" t="s">
        <v>2793</v>
      </c>
      <c r="F842" s="5" t="s">
        <v>3574</v>
      </c>
      <c r="G842" s="5" t="s">
        <v>78</v>
      </c>
      <c r="H842" s="7">
        <v>8</v>
      </c>
      <c r="I842" s="7">
        <v>20.49</v>
      </c>
      <c r="J842" s="7" t="s">
        <v>58</v>
      </c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5" t="s">
        <v>59</v>
      </c>
      <c r="V842" s="7" t="s">
        <v>60</v>
      </c>
      <c r="W842" s="7" t="s">
        <v>61</v>
      </c>
      <c r="X842" s="5" t="str">
        <f ca="1">IF(INDIRECT("W842")="Clássico","13%",IF(INDIRECT("W842")="Premium","17%","-"))</f>
        <v>13%</v>
      </c>
      <c r="Y842" s="7" t="s">
        <v>62</v>
      </c>
    </row>
    <row r="843" spans="1:25" ht="50" customHeight="1" x14ac:dyDescent="0.25">
      <c r="A843" s="5" t="s">
        <v>1436</v>
      </c>
      <c r="B843" s="5" t="s">
        <v>3575</v>
      </c>
      <c r="C843" s="5" t="s">
        <v>2691</v>
      </c>
      <c r="D843" s="5"/>
      <c r="E843" s="6" t="s">
        <v>1439</v>
      </c>
      <c r="F843" s="5" t="s">
        <v>3576</v>
      </c>
      <c r="G843" s="5" t="s">
        <v>78</v>
      </c>
      <c r="H843" s="7">
        <v>24</v>
      </c>
      <c r="I843" s="7">
        <v>26.49</v>
      </c>
      <c r="J843" s="7" t="s">
        <v>58</v>
      </c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5" t="s">
        <v>59</v>
      </c>
      <c r="V843" s="7" t="s">
        <v>101</v>
      </c>
      <c r="W843" s="7" t="s">
        <v>61</v>
      </c>
      <c r="X843" s="5" t="str">
        <f ca="1">IF(INDIRECT("W843")="Clássico","13%",IF(INDIRECT("W843")="Premium","17%","-"))</f>
        <v>13%</v>
      </c>
      <c r="Y843" s="7" t="s">
        <v>62</v>
      </c>
    </row>
    <row r="844" spans="1:25" ht="50" customHeight="1" x14ac:dyDescent="0.25">
      <c r="A844" s="5" t="s">
        <v>91</v>
      </c>
      <c r="B844" s="5" t="s">
        <v>3577</v>
      </c>
      <c r="C844" s="5" t="s">
        <v>93</v>
      </c>
      <c r="D844" s="5"/>
      <c r="E844" s="6" t="s">
        <v>94</v>
      </c>
      <c r="F844" s="5" t="s">
        <v>3578</v>
      </c>
      <c r="G844" s="5" t="s">
        <v>78</v>
      </c>
      <c r="H844" s="7">
        <v>20</v>
      </c>
      <c r="I844" s="7">
        <v>27.94</v>
      </c>
      <c r="J844" s="7" t="s">
        <v>58</v>
      </c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5" t="s">
        <v>59</v>
      </c>
      <c r="V844" s="7" t="s">
        <v>60</v>
      </c>
      <c r="W844" s="7" t="s">
        <v>61</v>
      </c>
      <c r="X844" s="5" t="str">
        <f ca="1">IF(INDIRECT("W844")="Clássico","13%",IF(INDIRECT("W844")="Premium","17%","-"))</f>
        <v>13%</v>
      </c>
      <c r="Y844" s="7" t="s">
        <v>62</v>
      </c>
    </row>
    <row r="845" spans="1:25" ht="50" customHeight="1" x14ac:dyDescent="0.25">
      <c r="A845" s="5" t="s">
        <v>192</v>
      </c>
      <c r="B845" s="5" t="s">
        <v>3579</v>
      </c>
      <c r="C845" s="5" t="s">
        <v>194</v>
      </c>
      <c r="D845" s="5"/>
      <c r="E845" s="6" t="s">
        <v>195</v>
      </c>
      <c r="F845" s="5" t="s">
        <v>3515</v>
      </c>
      <c r="G845" s="5" t="s">
        <v>78</v>
      </c>
      <c r="H845" s="7">
        <v>10</v>
      </c>
      <c r="I845" s="7">
        <v>59.9</v>
      </c>
      <c r="J845" s="7" t="s">
        <v>58</v>
      </c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5" t="s">
        <v>59</v>
      </c>
      <c r="V845" s="7" t="s">
        <v>60</v>
      </c>
      <c r="W845" s="7" t="s">
        <v>84</v>
      </c>
      <c r="X845" s="5" t="str">
        <f ca="1">IF(INDIRECT("W845")="Clássico","14%",IF(INDIRECT("W845")="Premium","19%","-"))</f>
        <v>19%</v>
      </c>
      <c r="Y845" s="7" t="s">
        <v>62</v>
      </c>
    </row>
    <row r="846" spans="1:25" ht="50" customHeight="1" x14ac:dyDescent="0.25">
      <c r="A846" s="5" t="s">
        <v>510</v>
      </c>
      <c r="B846" s="5" t="s">
        <v>3580</v>
      </c>
      <c r="C846" s="5" t="s">
        <v>512</v>
      </c>
      <c r="D846" s="5"/>
      <c r="E846" s="6" t="s">
        <v>513</v>
      </c>
      <c r="F846" s="5" t="s">
        <v>519</v>
      </c>
      <c r="G846" s="5" t="s">
        <v>78</v>
      </c>
      <c r="H846" s="7">
        <v>48</v>
      </c>
      <c r="I846" s="7">
        <v>30.49</v>
      </c>
      <c r="J846" s="7" t="s">
        <v>58</v>
      </c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5" t="s">
        <v>59</v>
      </c>
      <c r="V846" s="7" t="s">
        <v>60</v>
      </c>
      <c r="W846" s="7" t="s">
        <v>61</v>
      </c>
      <c r="X846" s="5" t="str">
        <f ca="1">IF(INDIRECT("W846")="Clássico","13%",IF(INDIRECT("W846")="Premium","17%","-"))</f>
        <v>13%</v>
      </c>
      <c r="Y846" s="7" t="s">
        <v>62</v>
      </c>
    </row>
    <row r="847" spans="1:25" ht="50" customHeight="1" x14ac:dyDescent="0.25">
      <c r="A847" s="5" t="s">
        <v>690</v>
      </c>
      <c r="B847" s="5" t="s">
        <v>3581</v>
      </c>
      <c r="C847" s="5" t="s">
        <v>692</v>
      </c>
      <c r="D847" s="5"/>
      <c r="E847" s="6" t="s">
        <v>693</v>
      </c>
      <c r="F847" s="5" t="s">
        <v>3582</v>
      </c>
      <c r="G847" s="5" t="s">
        <v>78</v>
      </c>
      <c r="H847" s="7">
        <v>24</v>
      </c>
      <c r="I847" s="7">
        <v>30.49</v>
      </c>
      <c r="J847" s="7" t="s">
        <v>58</v>
      </c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5" t="s">
        <v>59</v>
      </c>
      <c r="V847" s="7" t="s">
        <v>60</v>
      </c>
      <c r="W847" s="7" t="s">
        <v>61</v>
      </c>
      <c r="X847" s="5" t="str">
        <f ca="1">IF(INDIRECT("W847")="Clássico","13%",IF(INDIRECT("W847")="Premium","17%","-"))</f>
        <v>13%</v>
      </c>
      <c r="Y847" s="7" t="s">
        <v>62</v>
      </c>
    </row>
    <row r="848" spans="1:25" ht="50" customHeight="1" x14ac:dyDescent="0.25">
      <c r="A848" s="5" t="s">
        <v>705</v>
      </c>
      <c r="B848" s="5" t="s">
        <v>3583</v>
      </c>
      <c r="C848" s="5" t="s">
        <v>707</v>
      </c>
      <c r="D848" s="5"/>
      <c r="E848" s="6" t="s">
        <v>708</v>
      </c>
      <c r="F848" s="5" t="s">
        <v>3517</v>
      </c>
      <c r="G848" s="5" t="s">
        <v>78</v>
      </c>
      <c r="H848" s="7">
        <v>4</v>
      </c>
      <c r="I848" s="7">
        <v>33.49</v>
      </c>
      <c r="J848" s="7" t="s">
        <v>58</v>
      </c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5" t="s">
        <v>59</v>
      </c>
      <c r="V848" s="7" t="s">
        <v>60</v>
      </c>
      <c r="W848" s="7" t="s">
        <v>61</v>
      </c>
      <c r="X848" s="5" t="str">
        <f ca="1">IF(INDIRECT("W848")="Clássico","13%",IF(INDIRECT("W848")="Premium","17%","-"))</f>
        <v>13%</v>
      </c>
      <c r="Y848" s="7" t="s">
        <v>62</v>
      </c>
    </row>
    <row r="849" spans="1:25" ht="50" customHeight="1" x14ac:dyDescent="0.25">
      <c r="A849" s="5" t="s">
        <v>756</v>
      </c>
      <c r="B849" s="5" t="s">
        <v>3584</v>
      </c>
      <c r="C849" s="5" t="s">
        <v>758</v>
      </c>
      <c r="D849" s="5"/>
      <c r="E849" s="6" t="s">
        <v>759</v>
      </c>
      <c r="F849" s="5" t="s">
        <v>3517</v>
      </c>
      <c r="G849" s="5" t="s">
        <v>78</v>
      </c>
      <c r="H849" s="7">
        <v>4</v>
      </c>
      <c r="I849" s="7">
        <v>33.49</v>
      </c>
      <c r="J849" s="7" t="s">
        <v>58</v>
      </c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5" t="s">
        <v>59</v>
      </c>
      <c r="V849" s="7" t="s">
        <v>60</v>
      </c>
      <c r="W849" s="7" t="s">
        <v>61</v>
      </c>
      <c r="X849" s="5" t="str">
        <f ca="1">IF(INDIRECT("W849")="Clássico","13%",IF(INDIRECT("W849")="Premium","17%","-"))</f>
        <v>13%</v>
      </c>
      <c r="Y849" s="7" t="s">
        <v>62</v>
      </c>
    </row>
    <row r="850" spans="1:25" ht="50" customHeight="1" x14ac:dyDescent="0.25">
      <c r="A850" s="5" t="s">
        <v>740</v>
      </c>
      <c r="B850" s="5" t="s">
        <v>3585</v>
      </c>
      <c r="C850" s="5" t="s">
        <v>742</v>
      </c>
      <c r="D850" s="5"/>
      <c r="E850" s="6" t="s">
        <v>743</v>
      </c>
      <c r="F850" s="5" t="s">
        <v>3517</v>
      </c>
      <c r="G850" s="5" t="s">
        <v>78</v>
      </c>
      <c r="H850" s="7">
        <v>4</v>
      </c>
      <c r="I850" s="7">
        <v>33.49</v>
      </c>
      <c r="J850" s="7" t="s">
        <v>58</v>
      </c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5" t="s">
        <v>59</v>
      </c>
      <c r="V850" s="7" t="s">
        <v>60</v>
      </c>
      <c r="W850" s="7" t="s">
        <v>61</v>
      </c>
      <c r="X850" s="5" t="str">
        <f ca="1">IF(INDIRECT("W850")="Clássico","13%",IF(INDIRECT("W850")="Premium","17%","-"))</f>
        <v>13%</v>
      </c>
      <c r="Y850" s="7" t="s">
        <v>62</v>
      </c>
    </row>
    <row r="851" spans="1:25" ht="50" customHeight="1" x14ac:dyDescent="0.25">
      <c r="A851" s="5" t="s">
        <v>399</v>
      </c>
      <c r="B851" s="5" t="s">
        <v>3586</v>
      </c>
      <c r="C851" s="5" t="s">
        <v>401</v>
      </c>
      <c r="D851" s="5"/>
      <c r="E851" s="6" t="s">
        <v>402</v>
      </c>
      <c r="F851" s="5" t="s">
        <v>1329</v>
      </c>
      <c r="G851" s="5" t="s">
        <v>78</v>
      </c>
      <c r="H851" s="7">
        <v>16</v>
      </c>
      <c r="I851" s="7">
        <v>35.49</v>
      </c>
      <c r="J851" s="7" t="s">
        <v>58</v>
      </c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5" t="s">
        <v>59</v>
      </c>
      <c r="V851" s="7" t="s">
        <v>60</v>
      </c>
      <c r="W851" s="7" t="s">
        <v>61</v>
      </c>
      <c r="X851" s="5" t="str">
        <f ca="1">IF(INDIRECT("W851")="Clássico","13%",IF(INDIRECT("W851")="Premium","17%","-"))</f>
        <v>13%</v>
      </c>
      <c r="Y851" s="7" t="s">
        <v>62</v>
      </c>
    </row>
    <row r="852" spans="1:25" ht="50" customHeight="1" x14ac:dyDescent="0.25">
      <c r="A852" s="5" t="s">
        <v>1415</v>
      </c>
      <c r="B852" s="5" t="s">
        <v>3587</v>
      </c>
      <c r="C852" s="5" t="s">
        <v>1417</v>
      </c>
      <c r="D852" s="5"/>
      <c r="E852" s="6" t="s">
        <v>1418</v>
      </c>
      <c r="F852" s="5" t="s">
        <v>3588</v>
      </c>
      <c r="G852" s="5" t="s">
        <v>78</v>
      </c>
      <c r="H852" s="7">
        <v>9</v>
      </c>
      <c r="I852" s="7">
        <v>20.94</v>
      </c>
      <c r="J852" s="7" t="s">
        <v>58</v>
      </c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5" t="s">
        <v>59</v>
      </c>
      <c r="V852" s="7" t="s">
        <v>101</v>
      </c>
      <c r="W852" s="7" t="s">
        <v>84</v>
      </c>
      <c r="X852" s="5" t="str">
        <f ca="1">IF(INDIRECT("W852")="Clássico","13%",IF(INDIRECT("W852")="Premium","17%","-"))</f>
        <v>17%</v>
      </c>
      <c r="Y852" s="7" t="s">
        <v>62</v>
      </c>
    </row>
    <row r="853" spans="1:25" ht="50" customHeight="1" x14ac:dyDescent="0.25">
      <c r="A853" s="5" t="s">
        <v>490</v>
      </c>
      <c r="B853" s="5" t="s">
        <v>3589</v>
      </c>
      <c r="C853" s="5" t="s">
        <v>492</v>
      </c>
      <c r="D853" s="5"/>
      <c r="E853" s="6" t="s">
        <v>493</v>
      </c>
      <c r="F853" s="5" t="s">
        <v>3590</v>
      </c>
      <c r="G853" s="5" t="s">
        <v>78</v>
      </c>
      <c r="H853" s="7">
        <v>12</v>
      </c>
      <c r="I853" s="7">
        <v>43.49</v>
      </c>
      <c r="J853" s="7" t="s">
        <v>58</v>
      </c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5" t="s">
        <v>59</v>
      </c>
      <c r="V853" s="7" t="s">
        <v>60</v>
      </c>
      <c r="W853" s="7" t="s">
        <v>61</v>
      </c>
      <c r="X853" s="5" t="str">
        <f ca="1">IF(INDIRECT("W853")="Clássico","13%",IF(INDIRECT("W853")="Premium","17%","-"))</f>
        <v>13%</v>
      </c>
      <c r="Y853" s="7" t="s">
        <v>62</v>
      </c>
    </row>
    <row r="854" spans="1:25" ht="50" customHeight="1" x14ac:dyDescent="0.25">
      <c r="A854" s="5" t="s">
        <v>500</v>
      </c>
      <c r="B854" s="5" t="s">
        <v>3591</v>
      </c>
      <c r="C854" s="5" t="s">
        <v>502</v>
      </c>
      <c r="D854" s="5"/>
      <c r="E854" s="6" t="s">
        <v>503</v>
      </c>
      <c r="F854" s="5" t="s">
        <v>3592</v>
      </c>
      <c r="G854" s="5" t="s">
        <v>78</v>
      </c>
      <c r="H854" s="7">
        <v>85</v>
      </c>
      <c r="I854" s="7">
        <v>26.49</v>
      </c>
      <c r="J854" s="7" t="s">
        <v>58</v>
      </c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5" t="s">
        <v>59</v>
      </c>
      <c r="V854" s="7" t="s">
        <v>60</v>
      </c>
      <c r="W854" s="7" t="s">
        <v>61</v>
      </c>
      <c r="X854" s="5" t="str">
        <f ca="1">IF(INDIRECT("W854")="Clássico","13%",IF(INDIRECT("W854")="Premium","17%","-"))</f>
        <v>13%</v>
      </c>
      <c r="Y854" s="7" t="s">
        <v>62</v>
      </c>
    </row>
    <row r="855" spans="1:25" ht="50" customHeight="1" x14ac:dyDescent="0.25">
      <c r="A855" s="5" t="s">
        <v>588</v>
      </c>
      <c r="B855" s="5" t="s">
        <v>3593</v>
      </c>
      <c r="C855" s="5" t="s">
        <v>590</v>
      </c>
      <c r="D855" s="5"/>
      <c r="E855" s="6" t="s">
        <v>591</v>
      </c>
      <c r="F855" s="5" t="s">
        <v>3594</v>
      </c>
      <c r="G855" s="5" t="s">
        <v>78</v>
      </c>
      <c r="H855" s="7">
        <v>6</v>
      </c>
      <c r="I855" s="7">
        <v>37.49</v>
      </c>
      <c r="J855" s="7" t="s">
        <v>58</v>
      </c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5" t="s">
        <v>59</v>
      </c>
      <c r="V855" s="7" t="s">
        <v>60</v>
      </c>
      <c r="W855" s="7" t="s">
        <v>61</v>
      </c>
      <c r="X855" s="5" t="str">
        <f ca="1">IF(INDIRECT("W855")="Clássico","13%",IF(INDIRECT("W855")="Premium","17%","-"))</f>
        <v>13%</v>
      </c>
      <c r="Y855" s="7" t="s">
        <v>62</v>
      </c>
    </row>
    <row r="856" spans="1:25" ht="50" customHeight="1" x14ac:dyDescent="0.25">
      <c r="A856" s="5" t="s">
        <v>868</v>
      </c>
      <c r="B856" s="5" t="s">
        <v>3595</v>
      </c>
      <c r="C856" s="5" t="s">
        <v>870</v>
      </c>
      <c r="D856" s="5"/>
      <c r="E856" s="6" t="s">
        <v>871</v>
      </c>
      <c r="F856" s="5" t="s">
        <v>3596</v>
      </c>
      <c r="G856" s="5" t="s">
        <v>78</v>
      </c>
      <c r="H856" s="7">
        <v>9</v>
      </c>
      <c r="I856" s="7">
        <v>30.49</v>
      </c>
      <c r="J856" s="7" t="s">
        <v>58</v>
      </c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5" t="s">
        <v>59</v>
      </c>
      <c r="V856" s="7" t="s">
        <v>101</v>
      </c>
      <c r="W856" s="7" t="s">
        <v>61</v>
      </c>
      <c r="X856" s="5" t="str">
        <f ca="1">IF(INDIRECT("W856")="Clássico","13%",IF(INDIRECT("W856")="Premium","17%","-"))</f>
        <v>13%</v>
      </c>
      <c r="Y856" s="7" t="s">
        <v>62</v>
      </c>
    </row>
    <row r="857" spans="1:25" ht="50" customHeight="1" x14ac:dyDescent="0.25">
      <c r="A857" s="5" t="s">
        <v>900</v>
      </c>
      <c r="B857" s="5" t="s">
        <v>3597</v>
      </c>
      <c r="C857" s="5" t="s">
        <v>902</v>
      </c>
      <c r="D857" s="5"/>
      <c r="E857" s="6" t="s">
        <v>903</v>
      </c>
      <c r="F857" s="5" t="s">
        <v>3598</v>
      </c>
      <c r="G857" s="5" t="s">
        <v>78</v>
      </c>
      <c r="H857" s="7">
        <v>16</v>
      </c>
      <c r="I857" s="7">
        <v>20.49</v>
      </c>
      <c r="J857" s="7" t="s">
        <v>58</v>
      </c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5" t="s">
        <v>59</v>
      </c>
      <c r="V857" s="7" t="s">
        <v>60</v>
      </c>
      <c r="W857" s="7" t="s">
        <v>61</v>
      </c>
      <c r="X857" s="5" t="str">
        <f ca="1">IF(INDIRECT("W857")="Clássico","13%",IF(INDIRECT("W857")="Premium","17%","-"))</f>
        <v>13%</v>
      </c>
      <c r="Y857" s="7" t="s">
        <v>62</v>
      </c>
    </row>
    <row r="858" spans="1:25" ht="50" customHeight="1" x14ac:dyDescent="0.25">
      <c r="A858" s="5" t="s">
        <v>1000</v>
      </c>
      <c r="B858" s="5" t="s">
        <v>3599</v>
      </c>
      <c r="C858" s="5" t="s">
        <v>1002</v>
      </c>
      <c r="D858" s="5"/>
      <c r="E858" s="6" t="s">
        <v>1003</v>
      </c>
      <c r="F858" s="5" t="s">
        <v>3600</v>
      </c>
      <c r="G858" s="5" t="s">
        <v>78</v>
      </c>
      <c r="H858" s="7">
        <v>12</v>
      </c>
      <c r="I858" s="7">
        <v>26.49</v>
      </c>
      <c r="J858" s="7" t="s">
        <v>58</v>
      </c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5" t="s">
        <v>59</v>
      </c>
      <c r="V858" s="7" t="s">
        <v>101</v>
      </c>
      <c r="W858" s="7" t="s">
        <v>61</v>
      </c>
      <c r="X858" s="5" t="str">
        <f ca="1">IF(INDIRECT("W858")="Clássico","13%",IF(INDIRECT("W858")="Premium","17%","-"))</f>
        <v>13%</v>
      </c>
      <c r="Y858" s="7" t="s">
        <v>62</v>
      </c>
    </row>
    <row r="859" spans="1:25" ht="50" customHeight="1" x14ac:dyDescent="0.25">
      <c r="A859" s="5" t="s">
        <v>1005</v>
      </c>
      <c r="B859" s="5" t="s">
        <v>3601</v>
      </c>
      <c r="C859" s="5" t="s">
        <v>1007</v>
      </c>
      <c r="D859" s="5"/>
      <c r="E859" s="6" t="s">
        <v>1008</v>
      </c>
      <c r="F859" s="5" t="s">
        <v>3602</v>
      </c>
      <c r="G859" s="5" t="s">
        <v>78</v>
      </c>
      <c r="H859" s="7">
        <v>24</v>
      </c>
      <c r="I859" s="7">
        <v>26.49</v>
      </c>
      <c r="J859" s="7" t="s">
        <v>58</v>
      </c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5" t="s">
        <v>59</v>
      </c>
      <c r="V859" s="7" t="s">
        <v>101</v>
      </c>
      <c r="W859" s="7" t="s">
        <v>61</v>
      </c>
      <c r="X859" s="5" t="str">
        <f ca="1">IF(INDIRECT("W859")="Clássico","13%",IF(INDIRECT("W859")="Premium","17%","-"))</f>
        <v>13%</v>
      </c>
      <c r="Y859" s="7" t="s">
        <v>62</v>
      </c>
    </row>
    <row r="860" spans="1:25" ht="50" customHeight="1" x14ac:dyDescent="0.25">
      <c r="A860" s="5" t="s">
        <v>1714</v>
      </c>
      <c r="B860" s="5" t="s">
        <v>3603</v>
      </c>
      <c r="C860" s="5" t="s">
        <v>1716</v>
      </c>
      <c r="D860" s="5"/>
      <c r="E860" s="6" t="s">
        <v>1717</v>
      </c>
      <c r="F860" s="5" t="s">
        <v>3604</v>
      </c>
      <c r="G860" s="5" t="s">
        <v>78</v>
      </c>
      <c r="H860" s="7">
        <v>12</v>
      </c>
      <c r="I860" s="7">
        <v>24.13</v>
      </c>
      <c r="J860" s="7" t="s">
        <v>58</v>
      </c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5" t="s">
        <v>59</v>
      </c>
      <c r="V860" s="7" t="s">
        <v>60</v>
      </c>
      <c r="W860" s="7" t="s">
        <v>61</v>
      </c>
      <c r="X860" s="5" t="str">
        <f ca="1">IF(INDIRECT("W860")="Clássico","13%",IF(INDIRECT("W860")="Premium","17%","-"))</f>
        <v>13%</v>
      </c>
      <c r="Y860" s="7" t="s">
        <v>62</v>
      </c>
    </row>
    <row r="861" spans="1:25" ht="50" customHeight="1" x14ac:dyDescent="0.25">
      <c r="A861" s="5" t="s">
        <v>1162</v>
      </c>
      <c r="B861" s="5" t="s">
        <v>3605</v>
      </c>
      <c r="C861" s="5" t="s">
        <v>1164</v>
      </c>
      <c r="D861" s="5"/>
      <c r="E861" s="6" t="s">
        <v>1165</v>
      </c>
      <c r="F861" s="5" t="s">
        <v>3606</v>
      </c>
      <c r="G861" s="5" t="s">
        <v>78</v>
      </c>
      <c r="H861" s="7">
        <v>4</v>
      </c>
      <c r="I861" s="7">
        <v>89.49</v>
      </c>
      <c r="J861" s="7" t="s">
        <v>58</v>
      </c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5" t="s">
        <v>59</v>
      </c>
      <c r="V861" s="7" t="s">
        <v>129</v>
      </c>
      <c r="W861" s="7" t="s">
        <v>61</v>
      </c>
      <c r="X861" s="5" t="str">
        <f ca="1">IF(INDIRECT("W861")="Clássico","12%",IF(INDIRECT("W861")="Premium","17%","-"))</f>
        <v>12%</v>
      </c>
      <c r="Y861" s="7" t="s">
        <v>62</v>
      </c>
    </row>
    <row r="862" spans="1:25" ht="50" customHeight="1" x14ac:dyDescent="0.25">
      <c r="A862" s="5" t="s">
        <v>1207</v>
      </c>
      <c r="B862" s="5" t="s">
        <v>3607</v>
      </c>
      <c r="C862" s="5" t="s">
        <v>1209</v>
      </c>
      <c r="D862" s="5"/>
      <c r="E862" s="6" t="s">
        <v>1210</v>
      </c>
      <c r="F862" s="5" t="s">
        <v>3608</v>
      </c>
      <c r="G862" s="5" t="s">
        <v>78</v>
      </c>
      <c r="H862" s="7">
        <v>11</v>
      </c>
      <c r="I862" s="7">
        <v>25.49</v>
      </c>
      <c r="J862" s="7" t="s">
        <v>58</v>
      </c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5" t="s">
        <v>59</v>
      </c>
      <c r="V862" s="7" t="s">
        <v>60</v>
      </c>
      <c r="W862" s="7" t="s">
        <v>61</v>
      </c>
      <c r="X862" s="5" t="str">
        <f ca="1">IF(INDIRECT("W862")="Clássico","13%",IF(INDIRECT("W862")="Premium","17%","-"))</f>
        <v>13%</v>
      </c>
      <c r="Y862" s="7" t="s">
        <v>62</v>
      </c>
    </row>
    <row r="863" spans="1:25" ht="50" customHeight="1" x14ac:dyDescent="0.25">
      <c r="A863" s="5" t="s">
        <v>1312</v>
      </c>
      <c r="B863" s="5" t="s">
        <v>3609</v>
      </c>
      <c r="C863" s="5" t="s">
        <v>1314</v>
      </c>
      <c r="D863" s="5"/>
      <c r="E863" s="6" t="s">
        <v>1315</v>
      </c>
      <c r="F863" s="5" t="s">
        <v>3610</v>
      </c>
      <c r="G863" s="5" t="s">
        <v>78</v>
      </c>
      <c r="H863" s="7">
        <v>12</v>
      </c>
      <c r="I863" s="7">
        <v>26.49</v>
      </c>
      <c r="J863" s="7" t="s">
        <v>58</v>
      </c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5" t="s">
        <v>59</v>
      </c>
      <c r="V863" s="7" t="s">
        <v>60</v>
      </c>
      <c r="W863" s="7" t="s">
        <v>61</v>
      </c>
      <c r="X863" s="5" t="str">
        <f ca="1">IF(INDIRECT("W863")="Clássico","12%",IF(INDIRECT("W863")="Premium","17%","-"))</f>
        <v>12%</v>
      </c>
      <c r="Y863" s="7" t="s">
        <v>62</v>
      </c>
    </row>
    <row r="864" spans="1:25" ht="50" customHeight="1" x14ac:dyDescent="0.25">
      <c r="A864" s="5" t="s">
        <v>2012</v>
      </c>
      <c r="B864" s="5" t="s">
        <v>3611</v>
      </c>
      <c r="C864" s="5" t="s">
        <v>2014</v>
      </c>
      <c r="D864" s="5"/>
      <c r="E864" s="6" t="s">
        <v>2015</v>
      </c>
      <c r="F864" s="5" t="s">
        <v>3612</v>
      </c>
      <c r="G864" s="5" t="s">
        <v>78</v>
      </c>
      <c r="H864" s="7">
        <v>24</v>
      </c>
      <c r="I864" s="7">
        <v>37.49</v>
      </c>
      <c r="J864" s="7" t="s">
        <v>58</v>
      </c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5" t="s">
        <v>59</v>
      </c>
      <c r="V864" s="7" t="s">
        <v>60</v>
      </c>
      <c r="W864" s="7" t="s">
        <v>61</v>
      </c>
      <c r="X864" s="5" t="str">
        <f ca="1">IF(INDIRECT("W864")="Clássico","13%",IF(INDIRECT("W864")="Premium","17%","-"))</f>
        <v>13%</v>
      </c>
      <c r="Y864" s="7" t="s">
        <v>62</v>
      </c>
    </row>
    <row r="865" spans="1:25" ht="50" customHeight="1" x14ac:dyDescent="0.25">
      <c r="A865" s="5" t="s">
        <v>2120</v>
      </c>
      <c r="B865" s="5" t="s">
        <v>3613</v>
      </c>
      <c r="C865" s="5" t="s">
        <v>2122</v>
      </c>
      <c r="D865" s="5"/>
      <c r="E865" s="6" t="s">
        <v>2123</v>
      </c>
      <c r="F865" s="5" t="s">
        <v>3614</v>
      </c>
      <c r="G865" s="5" t="s">
        <v>78</v>
      </c>
      <c r="H865" s="7">
        <v>20</v>
      </c>
      <c r="I865" s="7">
        <v>20.49</v>
      </c>
      <c r="J865" s="7" t="s">
        <v>58</v>
      </c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5" t="s">
        <v>59</v>
      </c>
      <c r="V865" s="7" t="s">
        <v>60</v>
      </c>
      <c r="W865" s="7" t="s">
        <v>61</v>
      </c>
      <c r="X865" s="5" t="str">
        <f ca="1">IF(INDIRECT("W865")="Clássico","13%",IF(INDIRECT("W865")="Premium","17%","-"))</f>
        <v>13%</v>
      </c>
      <c r="Y865" s="7" t="s">
        <v>62</v>
      </c>
    </row>
    <row r="866" spans="1:25" ht="50" customHeight="1" x14ac:dyDescent="0.25">
      <c r="A866" s="5" t="s">
        <v>2198</v>
      </c>
      <c r="B866" s="5" t="s">
        <v>3615</v>
      </c>
      <c r="C866" s="5" t="s">
        <v>2200</v>
      </c>
      <c r="D866" s="5"/>
      <c r="E866" s="6" t="s">
        <v>2201</v>
      </c>
      <c r="F866" s="5" t="s">
        <v>1799</v>
      </c>
      <c r="G866" s="5" t="s">
        <v>78</v>
      </c>
      <c r="H866" s="7">
        <v>12</v>
      </c>
      <c r="I866" s="7">
        <v>26.49</v>
      </c>
      <c r="J866" s="7" t="s">
        <v>58</v>
      </c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5" t="s">
        <v>59</v>
      </c>
      <c r="V866" s="7" t="s">
        <v>60</v>
      </c>
      <c r="W866" s="7" t="s">
        <v>61</v>
      </c>
      <c r="X866" s="5" t="str">
        <f ca="1">IF(INDIRECT("W866")="Clássico","13%",IF(INDIRECT("W866")="Premium","17%","-"))</f>
        <v>13%</v>
      </c>
      <c r="Y866" s="7" t="s">
        <v>62</v>
      </c>
    </row>
    <row r="867" spans="1:25" ht="50" customHeight="1" x14ac:dyDescent="0.25">
      <c r="A867" s="5" t="s">
        <v>2360</v>
      </c>
      <c r="B867" s="5" t="s">
        <v>3616</v>
      </c>
      <c r="C867" s="5" t="s">
        <v>2362</v>
      </c>
      <c r="D867" s="5"/>
      <c r="E867" s="6" t="s">
        <v>2363</v>
      </c>
      <c r="F867" s="5" t="s">
        <v>3617</v>
      </c>
      <c r="G867" s="5" t="s">
        <v>78</v>
      </c>
      <c r="H867" s="7">
        <v>6</v>
      </c>
      <c r="I867" s="7">
        <v>87.49</v>
      </c>
      <c r="J867" s="7" t="s">
        <v>58</v>
      </c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5" t="s">
        <v>59</v>
      </c>
      <c r="V867" s="7" t="s">
        <v>129</v>
      </c>
      <c r="W867" s="7" t="s">
        <v>61</v>
      </c>
      <c r="X867" s="5" t="str">
        <f ca="1">IF(INDIRECT("W867")="Clássico","12%",IF(INDIRECT("W867")="Premium","17%","-"))</f>
        <v>12%</v>
      </c>
      <c r="Y867" s="7" t="s">
        <v>62</v>
      </c>
    </row>
    <row r="868" spans="1:25" ht="50" customHeight="1" x14ac:dyDescent="0.25">
      <c r="A868" s="5" t="s">
        <v>2470</v>
      </c>
      <c r="B868" s="5" t="s">
        <v>3618</v>
      </c>
      <c r="C868" s="5" t="s">
        <v>2472</v>
      </c>
      <c r="D868" s="5"/>
      <c r="E868" s="6" t="s">
        <v>2473</v>
      </c>
      <c r="F868" s="5" t="s">
        <v>2474</v>
      </c>
      <c r="G868" s="5" t="s">
        <v>78</v>
      </c>
      <c r="H868" s="7">
        <v>5</v>
      </c>
      <c r="I868" s="7">
        <v>26.49</v>
      </c>
      <c r="J868" s="7" t="s">
        <v>58</v>
      </c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5" t="s">
        <v>59</v>
      </c>
      <c r="V868" s="7" t="s">
        <v>60</v>
      </c>
      <c r="W868" s="7" t="s">
        <v>61</v>
      </c>
      <c r="X868" s="5" t="str">
        <f ca="1">IF(INDIRECT("W868")="Clássico","13%",IF(INDIRECT("W868")="Premium","17%","-"))</f>
        <v>13%</v>
      </c>
      <c r="Y868" s="7" t="s">
        <v>62</v>
      </c>
    </row>
    <row r="869" spans="1:25" ht="50" customHeight="1" x14ac:dyDescent="0.25">
      <c r="A869" s="5" t="s">
        <v>354</v>
      </c>
      <c r="B869" s="5" t="s">
        <v>3619</v>
      </c>
      <c r="C869" s="5" t="s">
        <v>3463</v>
      </c>
      <c r="D869" s="5"/>
      <c r="E869" s="6" t="s">
        <v>357</v>
      </c>
      <c r="F869" s="5" t="s">
        <v>2559</v>
      </c>
      <c r="G869" s="5" t="s">
        <v>78</v>
      </c>
      <c r="H869" s="7">
        <v>90</v>
      </c>
      <c r="I869" s="7">
        <v>127.5</v>
      </c>
      <c r="J869" s="7" t="s">
        <v>58</v>
      </c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5" t="s">
        <v>59</v>
      </c>
      <c r="V869" s="7" t="s">
        <v>129</v>
      </c>
      <c r="W869" s="7" t="s">
        <v>84</v>
      </c>
      <c r="X869" s="5" t="str">
        <f ca="1">IF(INDIRECT("W869")="Clássico","12%",IF(INDIRECT("W869")="Premium","17%","-"))</f>
        <v>17%</v>
      </c>
      <c r="Y869" s="7" t="s">
        <v>62</v>
      </c>
    </row>
    <row r="870" spans="1:25" ht="50" customHeight="1" x14ac:dyDescent="0.25">
      <c r="A870" s="5" t="s">
        <v>2918</v>
      </c>
      <c r="B870" s="5" t="s">
        <v>3620</v>
      </c>
      <c r="C870" s="5" t="s">
        <v>2920</v>
      </c>
      <c r="D870" s="5"/>
      <c r="E870" s="6" t="s">
        <v>2921</v>
      </c>
      <c r="F870" s="5" t="s">
        <v>3561</v>
      </c>
      <c r="G870" s="5" t="s">
        <v>78</v>
      </c>
      <c r="H870" s="7">
        <v>10</v>
      </c>
      <c r="I870" s="7">
        <v>26.49</v>
      </c>
      <c r="J870" s="7" t="s">
        <v>58</v>
      </c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5" t="s">
        <v>59</v>
      </c>
      <c r="V870" s="7" t="s">
        <v>101</v>
      </c>
      <c r="W870" s="7" t="s">
        <v>61</v>
      </c>
      <c r="X870" s="5" t="str">
        <f ca="1">IF(INDIRECT("W870")="Clássico","13%",IF(INDIRECT("W870")="Premium","17%","-"))</f>
        <v>13%</v>
      </c>
      <c r="Y870" s="7" t="s">
        <v>62</v>
      </c>
    </row>
    <row r="871" spans="1:25" ht="50" customHeight="1" x14ac:dyDescent="0.25">
      <c r="A871" s="5" t="s">
        <v>2874</v>
      </c>
      <c r="B871" s="5" t="s">
        <v>3621</v>
      </c>
      <c r="C871" s="5" t="s">
        <v>2876</v>
      </c>
      <c r="D871" s="5"/>
      <c r="E871" s="6" t="s">
        <v>2877</v>
      </c>
      <c r="F871" s="5" t="s">
        <v>3622</v>
      </c>
      <c r="G871" s="5" t="s">
        <v>78</v>
      </c>
      <c r="H871" s="7">
        <v>5</v>
      </c>
      <c r="I871" s="7">
        <v>37.49</v>
      </c>
      <c r="J871" s="7" t="s">
        <v>58</v>
      </c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5" t="s">
        <v>59</v>
      </c>
      <c r="V871" s="7" t="s">
        <v>60</v>
      </c>
      <c r="W871" s="7" t="s">
        <v>61</v>
      </c>
      <c r="X871" s="5" t="str">
        <f ca="1">IF(INDIRECT("W871")="Clássico","13%",IF(INDIRECT("W871")="Premium","17%","-"))</f>
        <v>13%</v>
      </c>
      <c r="Y871" s="7" t="s">
        <v>62</v>
      </c>
    </row>
    <row r="872" spans="1:25" ht="50" customHeight="1" x14ac:dyDescent="0.25">
      <c r="A872" s="5" t="s">
        <v>2923</v>
      </c>
      <c r="B872" s="5" t="s">
        <v>3623</v>
      </c>
      <c r="C872" s="5" t="s">
        <v>2925</v>
      </c>
      <c r="D872" s="5"/>
      <c r="E872" s="6" t="s">
        <v>2926</v>
      </c>
      <c r="F872" s="5" t="s">
        <v>3624</v>
      </c>
      <c r="G872" s="5" t="s">
        <v>78</v>
      </c>
      <c r="H872" s="7">
        <v>12</v>
      </c>
      <c r="I872" s="7">
        <v>26.49</v>
      </c>
      <c r="J872" s="7" t="s">
        <v>58</v>
      </c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5" t="s">
        <v>59</v>
      </c>
      <c r="V872" s="7" t="s">
        <v>101</v>
      </c>
      <c r="W872" s="7" t="s">
        <v>61</v>
      </c>
      <c r="X872" s="5" t="str">
        <f ca="1">IF(INDIRECT("W872")="Clássico","13%",IF(INDIRECT("W872")="Premium","17%","-"))</f>
        <v>13%</v>
      </c>
      <c r="Y872" s="7" t="s">
        <v>62</v>
      </c>
    </row>
    <row r="873" spans="1:25" ht="50" customHeight="1" x14ac:dyDescent="0.25">
      <c r="A873" s="5" t="s">
        <v>1252</v>
      </c>
      <c r="B873" s="5" t="s">
        <v>3625</v>
      </c>
      <c r="C873" s="5" t="s">
        <v>3123</v>
      </c>
      <c r="D873" s="5"/>
      <c r="E873" s="6" t="s">
        <v>1255</v>
      </c>
      <c r="F873" s="5" t="s">
        <v>3476</v>
      </c>
      <c r="G873" s="5" t="s">
        <v>78</v>
      </c>
      <c r="H873" s="7">
        <v>9</v>
      </c>
      <c r="I873" s="7">
        <v>20.94</v>
      </c>
      <c r="J873" s="7" t="s">
        <v>58</v>
      </c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5" t="s">
        <v>59</v>
      </c>
      <c r="V873" s="7" t="s">
        <v>101</v>
      </c>
      <c r="W873" s="7" t="s">
        <v>61</v>
      </c>
      <c r="X873" s="5" t="str">
        <f ca="1">IF(INDIRECT("W873")="Clássico","13%",IF(INDIRECT("W873")="Premium","17%","-"))</f>
        <v>13%</v>
      </c>
      <c r="Y873" s="7" t="s">
        <v>62</v>
      </c>
    </row>
    <row r="874" spans="1:25" ht="50" customHeight="1" x14ac:dyDescent="0.25">
      <c r="A874" s="5" t="s">
        <v>3243</v>
      </c>
      <c r="B874" s="5" t="s">
        <v>3626</v>
      </c>
      <c r="C874" s="5" t="s">
        <v>3245</v>
      </c>
      <c r="D874" s="5"/>
      <c r="E874" s="6" t="s">
        <v>3246</v>
      </c>
      <c r="F874" s="5" t="s">
        <v>3582</v>
      </c>
      <c r="G874" s="5" t="s">
        <v>78</v>
      </c>
      <c r="H874" s="7">
        <v>8</v>
      </c>
      <c r="I874" s="7">
        <v>30.49</v>
      </c>
      <c r="J874" s="7" t="s">
        <v>58</v>
      </c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5" t="s">
        <v>59</v>
      </c>
      <c r="V874" s="7" t="s">
        <v>60</v>
      </c>
      <c r="W874" s="7" t="s">
        <v>61</v>
      </c>
      <c r="X874" s="5" t="str">
        <f ca="1">IF(INDIRECT("W874")="Clássico","13%",IF(INDIRECT("W874")="Premium","17%","-"))</f>
        <v>13%</v>
      </c>
      <c r="Y874" s="7" t="s">
        <v>62</v>
      </c>
    </row>
    <row r="875" spans="1:25" ht="50" customHeight="1" x14ac:dyDescent="0.25">
      <c r="A875" s="5" t="s">
        <v>3363</v>
      </c>
      <c r="B875" s="5" t="s">
        <v>3627</v>
      </c>
      <c r="C875" s="5" t="s">
        <v>3365</v>
      </c>
      <c r="D875" s="5"/>
      <c r="E875" s="6" t="s">
        <v>3366</v>
      </c>
      <c r="F875" s="5" t="s">
        <v>3628</v>
      </c>
      <c r="G875" s="5" t="s">
        <v>78</v>
      </c>
      <c r="H875" s="7">
        <v>498</v>
      </c>
      <c r="I875" s="7">
        <v>21.24</v>
      </c>
      <c r="J875" s="7" t="s">
        <v>58</v>
      </c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5" t="s">
        <v>59</v>
      </c>
      <c r="V875" s="7" t="s">
        <v>60</v>
      </c>
      <c r="W875" s="7" t="s">
        <v>84</v>
      </c>
      <c r="X875" s="5" t="str">
        <f ca="1">IF(INDIRECT("W875")="Clássico","12%",IF(INDIRECT("W875")="Premium","17%","-"))</f>
        <v>17%</v>
      </c>
      <c r="Y875" s="7" t="s">
        <v>62</v>
      </c>
    </row>
    <row r="876" spans="1:25" ht="50" customHeight="1" x14ac:dyDescent="0.25">
      <c r="A876" s="5" t="s">
        <v>3338</v>
      </c>
      <c r="B876" s="5" t="s">
        <v>3629</v>
      </c>
      <c r="C876" s="5" t="s">
        <v>3340</v>
      </c>
      <c r="D876" s="5"/>
      <c r="E876" s="6" t="s">
        <v>3341</v>
      </c>
      <c r="F876" s="5" t="s">
        <v>3630</v>
      </c>
      <c r="G876" s="5" t="s">
        <v>78</v>
      </c>
      <c r="H876" s="7">
        <v>36</v>
      </c>
      <c r="I876" s="7">
        <v>18.739999999999998</v>
      </c>
      <c r="J876" s="7" t="s">
        <v>58</v>
      </c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5" t="s">
        <v>59</v>
      </c>
      <c r="V876" s="7" t="s">
        <v>60</v>
      </c>
      <c r="W876" s="7" t="s">
        <v>84</v>
      </c>
      <c r="X876" s="5" t="str">
        <f ca="1">IF(INDIRECT("W876")="Clássico","13%",IF(INDIRECT("W876")="Premium","17%","-"))</f>
        <v>17%</v>
      </c>
      <c r="Y876" s="7" t="s">
        <v>62</v>
      </c>
    </row>
    <row r="877" spans="1:25" ht="50" customHeight="1" x14ac:dyDescent="0.25">
      <c r="A877" s="5" t="s">
        <v>2813</v>
      </c>
      <c r="B877" s="5" t="s">
        <v>3631</v>
      </c>
      <c r="C877" s="5" t="s">
        <v>3323</v>
      </c>
      <c r="D877" s="5"/>
      <c r="E877" s="6" t="s">
        <v>2816</v>
      </c>
      <c r="F877" s="5" t="s">
        <v>3632</v>
      </c>
      <c r="G877" s="5" t="s">
        <v>78</v>
      </c>
      <c r="H877" s="7">
        <v>18</v>
      </c>
      <c r="I877" s="7">
        <v>21.24</v>
      </c>
      <c r="J877" s="7" t="s">
        <v>58</v>
      </c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5" t="s">
        <v>59</v>
      </c>
      <c r="V877" s="7" t="s">
        <v>60</v>
      </c>
      <c r="W877" s="7" t="s">
        <v>84</v>
      </c>
      <c r="X877" s="5" t="str">
        <f ca="1">IF(INDIRECT("W877")="Clássico","13%",IF(INDIRECT("W877")="Premium","17%","-"))</f>
        <v>17%</v>
      </c>
      <c r="Y877" s="7" t="s">
        <v>62</v>
      </c>
    </row>
    <row r="878" spans="1:25" ht="50" customHeight="1" x14ac:dyDescent="0.25">
      <c r="A878" s="5" t="s">
        <v>2813</v>
      </c>
      <c r="B878" s="5" t="s">
        <v>3633</v>
      </c>
      <c r="C878" s="5" t="s">
        <v>2815</v>
      </c>
      <c r="D878" s="5"/>
      <c r="E878" s="6" t="s">
        <v>2816</v>
      </c>
      <c r="F878" s="5" t="s">
        <v>3632</v>
      </c>
      <c r="G878" s="5" t="s">
        <v>78</v>
      </c>
      <c r="H878" s="7">
        <v>18</v>
      </c>
      <c r="I878" s="7">
        <v>26.49</v>
      </c>
      <c r="J878" s="7" t="s">
        <v>58</v>
      </c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5" t="s">
        <v>59</v>
      </c>
      <c r="V878" s="7" t="s">
        <v>60</v>
      </c>
      <c r="W878" s="7" t="s">
        <v>61</v>
      </c>
      <c r="X878" s="5" t="str">
        <f ca="1">IF(INDIRECT("W878")="Clássico","13%",IF(INDIRECT("W878")="Premium","17%","-"))</f>
        <v>13%</v>
      </c>
      <c r="Y878" s="7" t="s">
        <v>62</v>
      </c>
    </row>
    <row r="879" spans="1:25" ht="50" customHeight="1" x14ac:dyDescent="0.25">
      <c r="A879" s="5" t="s">
        <v>2807</v>
      </c>
      <c r="B879" s="5" t="s">
        <v>3634</v>
      </c>
      <c r="C879" s="5" t="s">
        <v>2809</v>
      </c>
      <c r="D879" s="5"/>
      <c r="E879" s="6" t="s">
        <v>2810</v>
      </c>
      <c r="F879" s="5" t="s">
        <v>3635</v>
      </c>
      <c r="G879" s="5" t="s">
        <v>78</v>
      </c>
      <c r="H879" s="7">
        <v>120</v>
      </c>
      <c r="I879" s="7">
        <v>22.49</v>
      </c>
      <c r="J879" s="7" t="s">
        <v>58</v>
      </c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5" t="s">
        <v>59</v>
      </c>
      <c r="V879" s="7" t="s">
        <v>60</v>
      </c>
      <c r="W879" s="7" t="s">
        <v>61</v>
      </c>
      <c r="X879" s="5" t="str">
        <f ca="1">IF(INDIRECT("W879")="Clássico","13%",IF(INDIRECT("W879")="Premium","17%","-"))</f>
        <v>13%</v>
      </c>
      <c r="Y879" s="7" t="s">
        <v>62</v>
      </c>
    </row>
    <row r="880" spans="1:25" ht="50" customHeight="1" x14ac:dyDescent="0.25">
      <c r="A880" s="5" t="s">
        <v>2698</v>
      </c>
      <c r="B880" s="5" t="s">
        <v>3636</v>
      </c>
      <c r="C880" s="5" t="s">
        <v>2700</v>
      </c>
      <c r="D880" s="5"/>
      <c r="E880" s="6" t="s">
        <v>2701</v>
      </c>
      <c r="F880" s="5" t="s">
        <v>2702</v>
      </c>
      <c r="G880" s="5" t="s">
        <v>78</v>
      </c>
      <c r="H880" s="7">
        <v>72</v>
      </c>
      <c r="I880" s="7">
        <v>26.49</v>
      </c>
      <c r="J880" s="7" t="s">
        <v>58</v>
      </c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5" t="s">
        <v>59</v>
      </c>
      <c r="V880" s="7" t="s">
        <v>60</v>
      </c>
      <c r="W880" s="7" t="s">
        <v>61</v>
      </c>
      <c r="X880" s="5" t="str">
        <f ca="1">IF(INDIRECT("W880")="Clássico","13%",IF(INDIRECT("W880")="Premium","17%","-"))</f>
        <v>13%</v>
      </c>
      <c r="Y880" s="7" t="s">
        <v>62</v>
      </c>
    </row>
    <row r="881" spans="1:25" ht="50" customHeight="1" x14ac:dyDescent="0.25">
      <c r="A881" s="5" t="s">
        <v>1567</v>
      </c>
      <c r="B881" s="5" t="s">
        <v>3637</v>
      </c>
      <c r="C881" s="5" t="s">
        <v>2673</v>
      </c>
      <c r="D881" s="5"/>
      <c r="E881" s="6" t="s">
        <v>1570</v>
      </c>
      <c r="F881" s="5" t="s">
        <v>3638</v>
      </c>
      <c r="G881" s="5" t="s">
        <v>78</v>
      </c>
      <c r="H881" s="7">
        <v>1</v>
      </c>
      <c r="I881" s="7">
        <v>33.49</v>
      </c>
      <c r="J881" s="7" t="s">
        <v>58</v>
      </c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5" t="s">
        <v>59</v>
      </c>
      <c r="V881" s="7" t="s">
        <v>60</v>
      </c>
      <c r="W881" s="7" t="s">
        <v>61</v>
      </c>
      <c r="X881" s="5" t="str">
        <f ca="1">IF(INDIRECT("W881")="Clássico","13%",IF(INDIRECT("W881")="Premium","17%","-"))</f>
        <v>13%</v>
      </c>
      <c r="Y881" s="7" t="s">
        <v>62</v>
      </c>
    </row>
    <row r="882" spans="1:25" ht="50" customHeight="1" x14ac:dyDescent="0.25">
      <c r="A882" s="5" t="s">
        <v>530</v>
      </c>
      <c r="B882" s="5" t="s">
        <v>3639</v>
      </c>
      <c r="C882" s="5" t="s">
        <v>532</v>
      </c>
      <c r="D882" s="5"/>
      <c r="E882" s="6" t="s">
        <v>533</v>
      </c>
      <c r="F882" s="5" t="s">
        <v>3640</v>
      </c>
      <c r="G882" s="5" t="s">
        <v>78</v>
      </c>
      <c r="H882" s="7">
        <v>46</v>
      </c>
      <c r="I882" s="7">
        <v>28.49</v>
      </c>
      <c r="J882" s="7" t="s">
        <v>58</v>
      </c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5" t="s">
        <v>59</v>
      </c>
      <c r="V882" s="7" t="s">
        <v>60</v>
      </c>
      <c r="W882" s="7" t="s">
        <v>84</v>
      </c>
      <c r="X882" s="5" t="str">
        <f ca="1">IF(INDIRECT("W882")="Premium","17%","-")</f>
        <v>17%</v>
      </c>
      <c r="Y882" s="5" t="s">
        <v>3641</v>
      </c>
    </row>
    <row r="883" spans="1:25" ht="50" customHeight="1" x14ac:dyDescent="0.25">
      <c r="A883" s="5" t="s">
        <v>1672</v>
      </c>
      <c r="B883" s="5" t="s">
        <v>3642</v>
      </c>
      <c r="C883" s="5" t="s">
        <v>1674</v>
      </c>
      <c r="D883" s="5"/>
      <c r="E883" s="6" t="s">
        <v>1675</v>
      </c>
      <c r="F883" s="5" t="s">
        <v>3643</v>
      </c>
      <c r="G883" s="5" t="s">
        <v>78</v>
      </c>
      <c r="H883" s="7">
        <v>4</v>
      </c>
      <c r="I883" s="7">
        <v>36.9</v>
      </c>
      <c r="J883" s="7" t="s">
        <v>58</v>
      </c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5" t="s">
        <v>59</v>
      </c>
      <c r="V883" s="7" t="s">
        <v>60</v>
      </c>
      <c r="W883" s="7" t="s">
        <v>84</v>
      </c>
      <c r="X883" s="5" t="str">
        <f ca="1">IF(INDIRECT("W883")="Premium","17%","-")</f>
        <v>17%</v>
      </c>
      <c r="Y883" s="5" t="s">
        <v>3641</v>
      </c>
    </row>
    <row r="884" spans="1:25" ht="50" customHeight="1" x14ac:dyDescent="0.25">
      <c r="A884" s="5" t="s">
        <v>3280</v>
      </c>
      <c r="B884" s="5" t="s">
        <v>3644</v>
      </c>
      <c r="C884" s="5" t="s">
        <v>3282</v>
      </c>
      <c r="D884" s="5"/>
      <c r="E884" s="6" t="s">
        <v>3283</v>
      </c>
      <c r="F884" s="5" t="s">
        <v>3643</v>
      </c>
      <c r="G884" s="5" t="s">
        <v>78</v>
      </c>
      <c r="H884" s="7">
        <v>2</v>
      </c>
      <c r="I884" s="7">
        <v>36.9</v>
      </c>
      <c r="J884" s="7" t="s">
        <v>58</v>
      </c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5" t="s">
        <v>59</v>
      </c>
      <c r="V884" s="7" t="s">
        <v>60</v>
      </c>
      <c r="W884" s="7" t="s">
        <v>84</v>
      </c>
      <c r="X884" s="5" t="str">
        <f ca="1">IF(INDIRECT("W884")="Premium","17%","-")</f>
        <v>17%</v>
      </c>
      <c r="Y884" s="5" t="s">
        <v>3641</v>
      </c>
    </row>
    <row r="885" spans="1:25" ht="50" customHeight="1" x14ac:dyDescent="0.25">
      <c r="A885" s="5" t="s">
        <v>3299</v>
      </c>
      <c r="B885" s="5" t="s">
        <v>3645</v>
      </c>
      <c r="C885" s="5" t="s">
        <v>3301</v>
      </c>
      <c r="D885" s="5"/>
      <c r="E885" s="6" t="s">
        <v>3302</v>
      </c>
      <c r="F885" s="5" t="s">
        <v>3643</v>
      </c>
      <c r="G885" s="5" t="s">
        <v>78</v>
      </c>
      <c r="H885" s="7">
        <v>4</v>
      </c>
      <c r="I885" s="7">
        <v>36.9</v>
      </c>
      <c r="J885" s="7" t="s">
        <v>58</v>
      </c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5" t="s">
        <v>59</v>
      </c>
      <c r="V885" s="7" t="s">
        <v>60</v>
      </c>
      <c r="W885" s="7" t="s">
        <v>84</v>
      </c>
      <c r="X885" s="5" t="str">
        <f ca="1">IF(INDIRECT("W885")="Premium","17%","-")</f>
        <v>17%</v>
      </c>
      <c r="Y885" s="5" t="s">
        <v>3641</v>
      </c>
    </row>
    <row r="886" spans="1:25" ht="50" customHeight="1" x14ac:dyDescent="0.25">
      <c r="A886" s="5" t="s">
        <v>3304</v>
      </c>
      <c r="B886" s="5" t="s">
        <v>3646</v>
      </c>
      <c r="C886" s="5" t="s">
        <v>3306</v>
      </c>
      <c r="D886" s="5"/>
      <c r="E886" s="6" t="s">
        <v>3307</v>
      </c>
      <c r="F886" s="5" t="s">
        <v>3643</v>
      </c>
      <c r="G886" s="5" t="s">
        <v>78</v>
      </c>
      <c r="H886" s="7">
        <v>4</v>
      </c>
      <c r="I886" s="7">
        <v>27.99</v>
      </c>
      <c r="J886" s="7" t="s">
        <v>58</v>
      </c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5" t="s">
        <v>59</v>
      </c>
      <c r="V886" s="7" t="s">
        <v>60</v>
      </c>
      <c r="W886" s="7" t="s">
        <v>84</v>
      </c>
      <c r="X886" s="5" t="str">
        <f ca="1">IF(INDIRECT("W886")="Premium","17%","-")</f>
        <v>17%</v>
      </c>
      <c r="Y886" s="5" t="s">
        <v>3641</v>
      </c>
    </row>
    <row r="887" spans="1:25" ht="50" customHeight="1" x14ac:dyDescent="0.25">
      <c r="A887" s="5" t="s">
        <v>3294</v>
      </c>
      <c r="B887" s="5" t="s">
        <v>3647</v>
      </c>
      <c r="C887" s="5" t="s">
        <v>3296</v>
      </c>
      <c r="D887" s="5"/>
      <c r="E887" s="6" t="s">
        <v>3297</v>
      </c>
      <c r="F887" s="5" t="s">
        <v>3643</v>
      </c>
      <c r="G887" s="5" t="s">
        <v>78</v>
      </c>
      <c r="H887" s="7">
        <v>4</v>
      </c>
      <c r="I887" s="7">
        <v>12.99</v>
      </c>
      <c r="J887" s="7" t="s">
        <v>58</v>
      </c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5" t="s">
        <v>59</v>
      </c>
      <c r="V887" s="7" t="s">
        <v>60</v>
      </c>
      <c r="W887" s="7" t="s">
        <v>84</v>
      </c>
      <c r="X887" s="5" t="str">
        <f ca="1">IF(INDIRECT("W887")="Premium","17%","-")</f>
        <v>17%</v>
      </c>
      <c r="Y887" s="5" t="s">
        <v>3641</v>
      </c>
    </row>
    <row r="888" spans="1:25" ht="50" customHeight="1" x14ac:dyDescent="0.25">
      <c r="A888" s="5" t="s">
        <v>3648</v>
      </c>
      <c r="B888" s="5" t="s">
        <v>3649</v>
      </c>
      <c r="C888" s="5" t="s">
        <v>3650</v>
      </c>
      <c r="D888" s="5"/>
      <c r="E888" s="6" t="s">
        <v>3651</v>
      </c>
      <c r="F888" s="5" t="s">
        <v>3652</v>
      </c>
      <c r="G888" s="5" t="s">
        <v>3652</v>
      </c>
      <c r="H888" s="7">
        <v>0</v>
      </c>
      <c r="I888" s="7">
        <v>26.49</v>
      </c>
      <c r="J888" s="7" t="s">
        <v>58</v>
      </c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 t="s">
        <v>59</v>
      </c>
      <c r="V888" s="7" t="s">
        <v>60</v>
      </c>
      <c r="W888" s="7" t="s">
        <v>61</v>
      </c>
      <c r="X888" s="5" t="str">
        <f ca="1">IF(INDIRECT("W888")="Clássico","13%",IF(INDIRECT("W888")="Premium","17%","-"))</f>
        <v>13%</v>
      </c>
      <c r="Y888" s="7" t="s">
        <v>3641</v>
      </c>
    </row>
    <row r="889" spans="1:25" ht="50" customHeight="1" x14ac:dyDescent="0.25">
      <c r="A889" s="5" t="s">
        <v>3653</v>
      </c>
      <c r="B889" s="5" t="s">
        <v>3654</v>
      </c>
      <c r="C889" s="5" t="s">
        <v>3655</v>
      </c>
      <c r="D889" s="5"/>
      <c r="E889" s="6" t="s">
        <v>3656</v>
      </c>
      <c r="F889" s="5" t="s">
        <v>3657</v>
      </c>
      <c r="G889" s="5" t="s">
        <v>3657</v>
      </c>
      <c r="H889" s="7">
        <v>0</v>
      </c>
      <c r="I889" s="7">
        <v>26.49</v>
      </c>
      <c r="J889" s="7" t="s">
        <v>58</v>
      </c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 t="s">
        <v>59</v>
      </c>
      <c r="V889" s="7" t="s">
        <v>60</v>
      </c>
      <c r="W889" s="7" t="s">
        <v>61</v>
      </c>
      <c r="X889" s="5" t="str">
        <f ca="1">IF(INDIRECT("W889")="Clássico","13%",IF(INDIRECT("W889")="Premium","17%","-"))</f>
        <v>13%</v>
      </c>
      <c r="Y889" s="7" t="s">
        <v>3641</v>
      </c>
    </row>
    <row r="890" spans="1:25" ht="50" customHeight="1" x14ac:dyDescent="0.25">
      <c r="A890" s="5" t="s">
        <v>3658</v>
      </c>
      <c r="B890" s="5" t="s">
        <v>3659</v>
      </c>
      <c r="C890" s="5" t="s">
        <v>3660</v>
      </c>
      <c r="D890" s="5"/>
      <c r="E890" s="6" t="s">
        <v>3661</v>
      </c>
      <c r="F890" s="5" t="s">
        <v>3662</v>
      </c>
      <c r="G890" s="5" t="s">
        <v>3662</v>
      </c>
      <c r="H890" s="7">
        <v>4</v>
      </c>
      <c r="I890" s="7">
        <v>26.49</v>
      </c>
      <c r="J890" s="7" t="s">
        <v>58</v>
      </c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 t="s">
        <v>59</v>
      </c>
      <c r="V890" s="7" t="s">
        <v>60</v>
      </c>
      <c r="W890" s="7" t="s">
        <v>61</v>
      </c>
      <c r="X890" s="5" t="str">
        <f ca="1">IF(INDIRECT("W890")="Clássico","13%",IF(INDIRECT("W890")="Premium","17%","-"))</f>
        <v>13%</v>
      </c>
      <c r="Y890" s="7" t="s">
        <v>3641</v>
      </c>
    </row>
    <row r="891" spans="1:25" ht="50" customHeight="1" x14ac:dyDescent="0.25">
      <c r="A891" s="5" t="s">
        <v>3663</v>
      </c>
      <c r="B891" s="5" t="s">
        <v>3664</v>
      </c>
      <c r="C891" s="5" t="s">
        <v>3665</v>
      </c>
      <c r="D891" s="5"/>
      <c r="E891" s="6" t="s">
        <v>3666</v>
      </c>
      <c r="F891" s="5" t="s">
        <v>3667</v>
      </c>
      <c r="G891" s="5" t="s">
        <v>3667</v>
      </c>
      <c r="H891" s="7">
        <v>0</v>
      </c>
      <c r="I891" s="7">
        <v>28.49</v>
      </c>
      <c r="J891" s="7" t="s">
        <v>58</v>
      </c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 t="s">
        <v>59</v>
      </c>
      <c r="V891" s="7" t="s">
        <v>60</v>
      </c>
      <c r="W891" s="7" t="s">
        <v>61</v>
      </c>
      <c r="X891" s="5" t="str">
        <f ca="1">IF(INDIRECT("W891")="Clássico","13%",IF(INDIRECT("W891")="Premium","17%","-"))</f>
        <v>13%</v>
      </c>
      <c r="Y891" s="7" t="s">
        <v>3641</v>
      </c>
    </row>
    <row r="892" spans="1:25" ht="50" customHeight="1" x14ac:dyDescent="0.25">
      <c r="A892" s="5" t="s">
        <v>3668</v>
      </c>
      <c r="B892" s="5" t="s">
        <v>3669</v>
      </c>
      <c r="C892" s="5" t="s">
        <v>3670</v>
      </c>
      <c r="D892" s="5"/>
      <c r="E892" s="6" t="s">
        <v>3671</v>
      </c>
      <c r="F892" s="5" t="s">
        <v>3672</v>
      </c>
      <c r="G892" s="5" t="s">
        <v>3672</v>
      </c>
      <c r="H892" s="7">
        <v>0</v>
      </c>
      <c r="I892" s="7">
        <v>26.49</v>
      </c>
      <c r="J892" s="7" t="s">
        <v>58</v>
      </c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 t="s">
        <v>59</v>
      </c>
      <c r="V892" s="7" t="s">
        <v>60</v>
      </c>
      <c r="W892" s="7" t="s">
        <v>61</v>
      </c>
      <c r="X892" s="5" t="str">
        <f ca="1">IF(INDIRECT("W892")="Clássico","13%",IF(INDIRECT("W892")="Premium","17%","-"))</f>
        <v>13%</v>
      </c>
      <c r="Y892" s="7" t="s">
        <v>3641</v>
      </c>
    </row>
    <row r="893" spans="1:25" ht="50" customHeight="1" x14ac:dyDescent="0.25">
      <c r="A893" s="5" t="s">
        <v>3673</v>
      </c>
      <c r="B893" s="5" t="s">
        <v>3674</v>
      </c>
      <c r="C893" s="5" t="s">
        <v>3675</v>
      </c>
      <c r="D893" s="5"/>
      <c r="E893" s="6" t="s">
        <v>3676</v>
      </c>
      <c r="F893" s="5" t="s">
        <v>3677</v>
      </c>
      <c r="G893" s="5" t="s">
        <v>3678</v>
      </c>
      <c r="H893" s="7">
        <v>0</v>
      </c>
      <c r="I893" s="7">
        <v>35.49</v>
      </c>
      <c r="J893" s="7" t="s">
        <v>58</v>
      </c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 t="s">
        <v>59</v>
      </c>
      <c r="V893" s="7" t="s">
        <v>60</v>
      </c>
      <c r="W893" s="7" t="s">
        <v>61</v>
      </c>
      <c r="X893" s="5" t="str">
        <f ca="1">IF(INDIRECT("W893")="Clássico","13%",IF(INDIRECT("W893")="Premium","17%","-"))</f>
        <v>13%</v>
      </c>
      <c r="Y893" s="7" t="s">
        <v>3641</v>
      </c>
    </row>
    <row r="894" spans="1:25" ht="50" customHeight="1" x14ac:dyDescent="0.25">
      <c r="A894" s="5" t="s">
        <v>3679</v>
      </c>
      <c r="B894" s="5" t="s">
        <v>3680</v>
      </c>
      <c r="C894" s="5" t="s">
        <v>3681</v>
      </c>
      <c r="D894" s="5"/>
      <c r="E894" s="6" t="s">
        <v>3682</v>
      </c>
      <c r="F894" s="5" t="s">
        <v>3683</v>
      </c>
      <c r="G894" s="5" t="s">
        <v>3683</v>
      </c>
      <c r="H894" s="7">
        <v>0</v>
      </c>
      <c r="I894" s="7">
        <v>26.49</v>
      </c>
      <c r="J894" s="7" t="s">
        <v>58</v>
      </c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 t="s">
        <v>59</v>
      </c>
      <c r="V894" s="7" t="s">
        <v>60</v>
      </c>
      <c r="W894" s="7" t="s">
        <v>61</v>
      </c>
      <c r="X894" s="5" t="str">
        <f ca="1">IF(INDIRECT("W894")="Clássico","13%",IF(INDIRECT("W894")="Premium","17%","-"))</f>
        <v>13%</v>
      </c>
      <c r="Y894" s="7" t="s">
        <v>3641</v>
      </c>
    </row>
    <row r="895" spans="1:25" ht="50" customHeight="1" x14ac:dyDescent="0.25">
      <c r="A895" s="5" t="s">
        <v>3684</v>
      </c>
      <c r="B895" s="5" t="s">
        <v>3685</v>
      </c>
      <c r="C895" s="5" t="s">
        <v>3686</v>
      </c>
      <c r="D895" s="5"/>
      <c r="E895" s="6" t="s">
        <v>3687</v>
      </c>
      <c r="F895" s="5" t="s">
        <v>3688</v>
      </c>
      <c r="G895" s="5" t="s">
        <v>3688</v>
      </c>
      <c r="H895" s="7">
        <v>0</v>
      </c>
      <c r="I895" s="7">
        <v>25.49</v>
      </c>
      <c r="J895" s="7" t="s">
        <v>58</v>
      </c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 t="s">
        <v>59</v>
      </c>
      <c r="V895" s="7" t="s">
        <v>60</v>
      </c>
      <c r="W895" s="7" t="s">
        <v>61</v>
      </c>
      <c r="X895" s="5" t="str">
        <f ca="1">IF(INDIRECT("W895")="Clássico","13%",IF(INDIRECT("W895")="Premium","17%","-"))</f>
        <v>13%</v>
      </c>
      <c r="Y895" s="7" t="s">
        <v>3641</v>
      </c>
    </row>
    <row r="896" spans="1:25" ht="50" customHeight="1" x14ac:dyDescent="0.25">
      <c r="A896" s="5" t="s">
        <v>3689</v>
      </c>
      <c r="B896" s="5" t="s">
        <v>3690</v>
      </c>
      <c r="C896" s="5" t="s">
        <v>3691</v>
      </c>
      <c r="D896" s="5"/>
      <c r="E896" s="6" t="s">
        <v>3692</v>
      </c>
      <c r="F896" s="5" t="s">
        <v>3693</v>
      </c>
      <c r="G896" s="5" t="s">
        <v>3693</v>
      </c>
      <c r="H896" s="7">
        <v>0</v>
      </c>
      <c r="I896" s="7">
        <v>26.49</v>
      </c>
      <c r="J896" s="7" t="s">
        <v>58</v>
      </c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 t="s">
        <v>59</v>
      </c>
      <c r="V896" s="7" t="s">
        <v>101</v>
      </c>
      <c r="W896" s="7" t="s">
        <v>61</v>
      </c>
      <c r="X896" s="5" t="str">
        <f ca="1">IF(INDIRECT("W896")="Clássico","13%",IF(INDIRECT("W896")="Premium","17%","-"))</f>
        <v>13%</v>
      </c>
      <c r="Y896" s="7" t="s">
        <v>3641</v>
      </c>
    </row>
    <row r="897" spans="1:25" ht="50" customHeight="1" x14ac:dyDescent="0.25">
      <c r="A897" s="5" t="s">
        <v>3694</v>
      </c>
      <c r="B897" s="5" t="s">
        <v>3695</v>
      </c>
      <c r="C897" s="5" t="s">
        <v>3696</v>
      </c>
      <c r="D897" s="5"/>
      <c r="E897" s="6" t="s">
        <v>3697</v>
      </c>
      <c r="F897" s="5" t="s">
        <v>3698</v>
      </c>
      <c r="G897" s="5" t="s">
        <v>3698</v>
      </c>
      <c r="H897" s="7">
        <v>5</v>
      </c>
      <c r="I897" s="7">
        <v>26.49</v>
      </c>
      <c r="J897" s="7" t="s">
        <v>58</v>
      </c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 t="s">
        <v>59</v>
      </c>
      <c r="V897" s="7" t="s">
        <v>60</v>
      </c>
      <c r="W897" s="7" t="s">
        <v>61</v>
      </c>
      <c r="X897" s="5" t="str">
        <f ca="1">IF(INDIRECT("W897")="Clássico","13%",IF(INDIRECT("W897")="Premium","17%","-"))</f>
        <v>13%</v>
      </c>
      <c r="Y897" s="7" t="s">
        <v>3641</v>
      </c>
    </row>
    <row r="898" spans="1:25" ht="50" customHeight="1" x14ac:dyDescent="0.25">
      <c r="A898" s="5" t="s">
        <v>3699</v>
      </c>
      <c r="B898" s="5" t="s">
        <v>3700</v>
      </c>
      <c r="C898" s="5" t="s">
        <v>3701</v>
      </c>
      <c r="D898" s="5"/>
      <c r="E898" s="6" t="s">
        <v>3702</v>
      </c>
      <c r="F898" s="5" t="s">
        <v>3703</v>
      </c>
      <c r="G898" s="5" t="s">
        <v>3703</v>
      </c>
      <c r="H898" s="7">
        <v>0</v>
      </c>
      <c r="I898" s="7">
        <v>26.49</v>
      </c>
      <c r="J898" s="7" t="s">
        <v>58</v>
      </c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 t="s">
        <v>59</v>
      </c>
      <c r="V898" s="7" t="s">
        <v>60</v>
      </c>
      <c r="W898" s="7" t="s">
        <v>61</v>
      </c>
      <c r="X898" s="5" t="str">
        <f ca="1">IF(INDIRECT("W898")="Clássico","13%",IF(INDIRECT("W898")="Premium","17%","-"))</f>
        <v>13%</v>
      </c>
      <c r="Y898" s="7" t="s">
        <v>3641</v>
      </c>
    </row>
    <row r="899" spans="1:25" ht="50" customHeight="1" x14ac:dyDescent="0.25">
      <c r="A899" s="5" t="s">
        <v>3704</v>
      </c>
      <c r="B899" s="5" t="s">
        <v>3705</v>
      </c>
      <c r="C899" s="5" t="s">
        <v>3706</v>
      </c>
      <c r="D899" s="5"/>
      <c r="E899" s="6" t="s">
        <v>3707</v>
      </c>
      <c r="F899" s="5" t="s">
        <v>3708</v>
      </c>
      <c r="G899" s="5" t="s">
        <v>3708</v>
      </c>
      <c r="H899" s="7">
        <v>9</v>
      </c>
      <c r="I899" s="7">
        <v>93.49</v>
      </c>
      <c r="J899" s="7" t="s">
        <v>58</v>
      </c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 t="s">
        <v>59</v>
      </c>
      <c r="V899" s="7" t="s">
        <v>129</v>
      </c>
      <c r="W899" s="7" t="s">
        <v>61</v>
      </c>
      <c r="X899" s="5" t="str">
        <f ca="1">IF(INDIRECT("W899")="Clássico","13%",IF(INDIRECT("W899")="Premium","17%","-"))</f>
        <v>13%</v>
      </c>
      <c r="Y899" s="7" t="s">
        <v>3641</v>
      </c>
    </row>
    <row r="900" spans="1:25" ht="50" customHeight="1" x14ac:dyDescent="0.25">
      <c r="A900" s="5" t="s">
        <v>3709</v>
      </c>
      <c r="B900" s="5" t="s">
        <v>3710</v>
      </c>
      <c r="C900" s="5" t="s">
        <v>3711</v>
      </c>
      <c r="D900" s="5"/>
      <c r="E900" s="6" t="s">
        <v>3712</v>
      </c>
      <c r="F900" s="5" t="s">
        <v>3713</v>
      </c>
      <c r="G900" s="5" t="s">
        <v>3713</v>
      </c>
      <c r="H900" s="7">
        <v>0</v>
      </c>
      <c r="I900" s="7">
        <v>98.9</v>
      </c>
      <c r="J900" s="7" t="s">
        <v>58</v>
      </c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5" t="s">
        <v>59</v>
      </c>
      <c r="V900" s="7" t="s">
        <v>129</v>
      </c>
      <c r="W900" s="7" t="s">
        <v>84</v>
      </c>
      <c r="X900" s="5" t="str">
        <f ca="1">IF(INDIRECT("W900")="Clássico","14%",IF(INDIRECT("W900")="Premium","19%","-"))</f>
        <v>19%</v>
      </c>
      <c r="Y900" s="7" t="s">
        <v>3641</v>
      </c>
    </row>
    <row r="901" spans="1:25" ht="50" customHeight="1" x14ac:dyDescent="0.25">
      <c r="A901" s="5" t="s">
        <v>3714</v>
      </c>
      <c r="B901" s="5" t="s">
        <v>3715</v>
      </c>
      <c r="C901" s="5" t="s">
        <v>3716</v>
      </c>
      <c r="D901" s="5"/>
      <c r="E901" s="6" t="s">
        <v>3717</v>
      </c>
      <c r="F901" s="5" t="s">
        <v>3718</v>
      </c>
      <c r="G901" s="5" t="s">
        <v>3718</v>
      </c>
      <c r="H901" s="7">
        <v>0</v>
      </c>
      <c r="I901" s="7">
        <v>24.49</v>
      </c>
      <c r="J901" s="7" t="s">
        <v>58</v>
      </c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 t="s">
        <v>59</v>
      </c>
      <c r="V901" s="7" t="s">
        <v>60</v>
      </c>
      <c r="W901" s="7" t="s">
        <v>61</v>
      </c>
      <c r="X901" s="5" t="str">
        <f ca="1">IF(INDIRECT("W901")="Clássico","13%",IF(INDIRECT("W901")="Premium","17%","-"))</f>
        <v>13%</v>
      </c>
      <c r="Y901" s="7" t="s">
        <v>3641</v>
      </c>
    </row>
    <row r="902" spans="1:25" ht="50" customHeight="1" x14ac:dyDescent="0.25">
      <c r="A902" s="5" t="s">
        <v>3719</v>
      </c>
      <c r="B902" s="5" t="s">
        <v>3720</v>
      </c>
      <c r="C902" s="5" t="s">
        <v>3721</v>
      </c>
      <c r="D902" s="5"/>
      <c r="E902" s="6" t="s">
        <v>3722</v>
      </c>
      <c r="F902" s="6" t="s">
        <v>3723</v>
      </c>
      <c r="G902" s="5" t="s">
        <v>3723</v>
      </c>
      <c r="H902" s="7">
        <v>20</v>
      </c>
      <c r="I902" s="7">
        <v>276.49</v>
      </c>
      <c r="J902" s="7" t="s">
        <v>58</v>
      </c>
      <c r="K902" s="7">
        <v>229.99</v>
      </c>
      <c r="L902" s="7">
        <v>3</v>
      </c>
      <c r="M902" s="7"/>
      <c r="N902" s="7"/>
      <c r="O902" s="7"/>
      <c r="P902" s="7"/>
      <c r="Q902" s="7"/>
      <c r="R902" s="7"/>
      <c r="S902" s="7"/>
      <c r="T902" s="7"/>
      <c r="U902" s="7" t="s">
        <v>59</v>
      </c>
      <c r="V902" s="7" t="s">
        <v>129</v>
      </c>
      <c r="W902" s="7" t="s">
        <v>84</v>
      </c>
      <c r="X902" s="5" t="str">
        <f ca="1">IF(INDIRECT("W902")="Clássico","14%",IF(INDIRECT("W902")="Premium","19%","-"))</f>
        <v>19%</v>
      </c>
      <c r="Y902" s="7" t="s">
        <v>3641</v>
      </c>
    </row>
    <row r="903" spans="1:25" ht="50" customHeight="1" x14ac:dyDescent="0.25">
      <c r="A903" s="5" t="s">
        <v>3724</v>
      </c>
      <c r="B903" s="5" t="s">
        <v>3725</v>
      </c>
      <c r="C903" s="5" t="s">
        <v>3726</v>
      </c>
      <c r="D903" s="5"/>
      <c r="E903" s="6" t="s">
        <v>3727</v>
      </c>
      <c r="F903" s="6" t="s">
        <v>3728</v>
      </c>
      <c r="G903" s="5" t="s">
        <v>3728</v>
      </c>
      <c r="H903" s="7">
        <v>6</v>
      </c>
      <c r="I903" s="7">
        <v>43.49</v>
      </c>
      <c r="J903" s="7" t="s">
        <v>58</v>
      </c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 t="s">
        <v>59</v>
      </c>
      <c r="V903" s="7" t="s">
        <v>101</v>
      </c>
      <c r="W903" s="7" t="s">
        <v>61</v>
      </c>
      <c r="X903" s="5" t="str">
        <f ca="1">IF(INDIRECT("W903")="Clássico","12%",IF(INDIRECT("W903")="Premium","17%","-"))</f>
        <v>12%</v>
      </c>
      <c r="Y903" s="7" t="s">
        <v>3641</v>
      </c>
    </row>
    <row r="904" spans="1:25" ht="50" customHeight="1" x14ac:dyDescent="0.25">
      <c r="A904" s="5" t="s">
        <v>3729</v>
      </c>
      <c r="B904" s="5" t="s">
        <v>3730</v>
      </c>
      <c r="C904" s="5" t="s">
        <v>3731</v>
      </c>
      <c r="D904" s="5"/>
      <c r="E904" s="6" t="s">
        <v>3732</v>
      </c>
      <c r="F904" s="6" t="s">
        <v>3733</v>
      </c>
      <c r="G904" s="5" t="s">
        <v>3733</v>
      </c>
      <c r="H904" s="7">
        <v>6</v>
      </c>
      <c r="I904" s="7">
        <v>26.49</v>
      </c>
      <c r="J904" s="7" t="s">
        <v>58</v>
      </c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 t="s">
        <v>59</v>
      </c>
      <c r="V904" s="7" t="s">
        <v>60</v>
      </c>
      <c r="W904" s="7" t="s">
        <v>61</v>
      </c>
      <c r="X904" s="5" t="str">
        <f ca="1">IF(INDIRECT("W904")="Clássico","13%",IF(INDIRECT("W904")="Premium","17%","-"))</f>
        <v>13%</v>
      </c>
      <c r="Y904" s="7" t="s">
        <v>3641</v>
      </c>
    </row>
    <row r="905" spans="1:25" ht="50" customHeight="1" x14ac:dyDescent="0.25">
      <c r="A905" s="5" t="s">
        <v>3734</v>
      </c>
      <c r="B905" s="5" t="s">
        <v>3735</v>
      </c>
      <c r="C905" s="5" t="s">
        <v>3736</v>
      </c>
      <c r="D905" s="5"/>
      <c r="E905" s="6" t="s">
        <v>3737</v>
      </c>
      <c r="F905" s="6" t="s">
        <v>3738</v>
      </c>
      <c r="G905" s="5" t="s">
        <v>3738</v>
      </c>
      <c r="H905" s="7">
        <v>6</v>
      </c>
      <c r="I905" s="7">
        <v>26.49</v>
      </c>
      <c r="J905" s="7" t="s">
        <v>58</v>
      </c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 t="s">
        <v>59</v>
      </c>
      <c r="V905" s="7" t="s">
        <v>60</v>
      </c>
      <c r="W905" s="7" t="s">
        <v>61</v>
      </c>
      <c r="X905" s="5" t="str">
        <f ca="1">IF(INDIRECT("W905")="Clássico","13%",IF(INDIRECT("W905")="Premium","17%","-"))</f>
        <v>13%</v>
      </c>
      <c r="Y905" s="7" t="s">
        <v>3641</v>
      </c>
    </row>
    <row r="906" spans="1:25" ht="50" customHeight="1" x14ac:dyDescent="0.25">
      <c r="A906" s="5" t="s">
        <v>3739</v>
      </c>
      <c r="B906" s="5" t="s">
        <v>3740</v>
      </c>
      <c r="C906" s="5" t="s">
        <v>3741</v>
      </c>
      <c r="D906" s="5"/>
      <c r="E906" s="6" t="s">
        <v>3742</v>
      </c>
      <c r="F906" s="6" t="s">
        <v>3743</v>
      </c>
      <c r="G906" s="5" t="s">
        <v>3743</v>
      </c>
      <c r="H906" s="7">
        <v>12</v>
      </c>
      <c r="I906" s="7">
        <v>26.49</v>
      </c>
      <c r="J906" s="7" t="s">
        <v>58</v>
      </c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 t="s">
        <v>59</v>
      </c>
      <c r="V906" s="7" t="s">
        <v>101</v>
      </c>
      <c r="W906" s="7" t="s">
        <v>61</v>
      </c>
      <c r="X906" s="5" t="str">
        <f ca="1">IF(INDIRECT("W906")="Clássico","13%",IF(INDIRECT("W906")="Premium","17%","-"))</f>
        <v>13%</v>
      </c>
      <c r="Y906" s="7" t="s">
        <v>3641</v>
      </c>
    </row>
    <row r="907" spans="1:25" ht="50" customHeight="1" x14ac:dyDescent="0.25">
      <c r="A907" s="5" t="s">
        <v>3744</v>
      </c>
      <c r="B907" s="5" t="s">
        <v>3745</v>
      </c>
      <c r="C907" s="5" t="s">
        <v>3746</v>
      </c>
      <c r="D907" s="5"/>
      <c r="E907" s="6" t="s">
        <v>3747</v>
      </c>
      <c r="F907" s="6" t="s">
        <v>3748</v>
      </c>
      <c r="G907" s="5" t="s">
        <v>3748</v>
      </c>
      <c r="H907" s="7">
        <v>6</v>
      </c>
      <c r="I907" s="7">
        <v>26.49</v>
      </c>
      <c r="J907" s="7" t="s">
        <v>58</v>
      </c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 t="s">
        <v>59</v>
      </c>
      <c r="V907" s="7" t="s">
        <v>60</v>
      </c>
      <c r="W907" s="7" t="s">
        <v>61</v>
      </c>
      <c r="X907" s="5" t="str">
        <f ca="1">IF(INDIRECT("W907")="Clássico","13%",IF(INDIRECT("W907")="Premium","17%","-"))</f>
        <v>13%</v>
      </c>
      <c r="Y907" s="7" t="s">
        <v>3641</v>
      </c>
    </row>
    <row r="908" spans="1:25" ht="50" customHeight="1" x14ac:dyDescent="0.25">
      <c r="A908" s="5" t="s">
        <v>3749</v>
      </c>
      <c r="B908" s="5" t="s">
        <v>3750</v>
      </c>
      <c r="C908" s="5" t="s">
        <v>3751</v>
      </c>
      <c r="D908" s="5"/>
      <c r="E908" s="6" t="s">
        <v>3752</v>
      </c>
      <c r="F908" s="6" t="s">
        <v>3753</v>
      </c>
      <c r="G908" s="5" t="s">
        <v>3753</v>
      </c>
      <c r="H908" s="7">
        <v>0</v>
      </c>
      <c r="I908" s="7">
        <v>130.49</v>
      </c>
      <c r="J908" s="7" t="s">
        <v>58</v>
      </c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 t="s">
        <v>59</v>
      </c>
      <c r="V908" s="7" t="s">
        <v>129</v>
      </c>
      <c r="W908" s="7" t="s">
        <v>84</v>
      </c>
      <c r="X908" s="5" t="str">
        <f ca="1">IF(INDIRECT("W908")="Clássico","14%",IF(INDIRECT("W908")="Premium","19%","-"))</f>
        <v>19%</v>
      </c>
      <c r="Y908" s="7" t="s">
        <v>3641</v>
      </c>
    </row>
    <row r="909" spans="1:25" ht="50" customHeight="1" x14ac:dyDescent="0.25">
      <c r="A909" s="5" t="s">
        <v>3754</v>
      </c>
      <c r="B909" s="5" t="s">
        <v>3755</v>
      </c>
      <c r="C909" s="5" t="s">
        <v>3756</v>
      </c>
      <c r="D909" s="5"/>
      <c r="E909" s="6" t="s">
        <v>3757</v>
      </c>
      <c r="F909" s="6" t="s">
        <v>3758</v>
      </c>
      <c r="G909" s="5" t="s">
        <v>3758</v>
      </c>
      <c r="H909" s="7">
        <v>4</v>
      </c>
      <c r="I909" s="7">
        <v>26.49</v>
      </c>
      <c r="J909" s="7" t="s">
        <v>58</v>
      </c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 t="s">
        <v>59</v>
      </c>
      <c r="V909" s="7" t="s">
        <v>101</v>
      </c>
      <c r="W909" s="7" t="s">
        <v>61</v>
      </c>
      <c r="X909" s="5" t="str">
        <f ca="1">IF(INDIRECT("W909")="Clássico","13%",IF(INDIRECT("W909")="Premium","17%","-"))</f>
        <v>13%</v>
      </c>
      <c r="Y909" s="7" t="s">
        <v>3641</v>
      </c>
    </row>
    <row r="910" spans="1:25" ht="50" customHeight="1" x14ac:dyDescent="0.25">
      <c r="A910" s="5" t="s">
        <v>3759</v>
      </c>
      <c r="B910" s="5" t="s">
        <v>3760</v>
      </c>
      <c r="C910" s="5" t="s">
        <v>3761</v>
      </c>
      <c r="D910" s="5"/>
      <c r="E910" s="6" t="s">
        <v>3762</v>
      </c>
      <c r="F910" s="6" t="s">
        <v>3763</v>
      </c>
      <c r="G910" s="5" t="s">
        <v>3763</v>
      </c>
      <c r="H910" s="7">
        <v>0</v>
      </c>
      <c r="I910" s="7">
        <v>51.49</v>
      </c>
      <c r="J910" s="7" t="s">
        <v>58</v>
      </c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 t="s">
        <v>59</v>
      </c>
      <c r="V910" s="7" t="s">
        <v>60</v>
      </c>
      <c r="W910" s="7" t="s">
        <v>61</v>
      </c>
      <c r="X910" s="5" t="str">
        <f ca="1">IF(INDIRECT("W910")="Clássico","14%",IF(INDIRECT("W910")="Premium","19%","-"))</f>
        <v>14%</v>
      </c>
      <c r="Y910" s="7" t="s">
        <v>3641</v>
      </c>
    </row>
    <row r="911" spans="1:25" ht="50" customHeight="1" x14ac:dyDescent="0.25">
      <c r="A911" s="5" t="s">
        <v>3764</v>
      </c>
      <c r="B911" s="5" t="s">
        <v>3765</v>
      </c>
      <c r="C911" s="5" t="s">
        <v>3766</v>
      </c>
      <c r="D911" s="5"/>
      <c r="E911" s="6" t="s">
        <v>3767</v>
      </c>
      <c r="F911" s="6" t="s">
        <v>3768</v>
      </c>
      <c r="G911" s="5" t="s">
        <v>3768</v>
      </c>
      <c r="H911" s="7">
        <v>12</v>
      </c>
      <c r="I911" s="7">
        <v>26.49</v>
      </c>
      <c r="J911" s="7" t="s">
        <v>58</v>
      </c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 t="s">
        <v>59</v>
      </c>
      <c r="V911" s="7" t="s">
        <v>101</v>
      </c>
      <c r="W911" s="7" t="s">
        <v>61</v>
      </c>
      <c r="X911" s="5" t="str">
        <f ca="1">IF(INDIRECT("W911")="Clássico","13%",IF(INDIRECT("W911")="Premium","17%","-"))</f>
        <v>13%</v>
      </c>
      <c r="Y911" s="7" t="s">
        <v>3641</v>
      </c>
    </row>
    <row r="912" spans="1:25" ht="50" customHeight="1" x14ac:dyDescent="0.25">
      <c r="A912" s="5" t="s">
        <v>3769</v>
      </c>
      <c r="B912" s="5" t="s">
        <v>3770</v>
      </c>
      <c r="C912" s="5" t="s">
        <v>3771</v>
      </c>
      <c r="D912" s="5"/>
      <c r="E912" s="6" t="s">
        <v>3772</v>
      </c>
      <c r="F912" s="6" t="s">
        <v>3773</v>
      </c>
      <c r="G912" s="5" t="s">
        <v>3773</v>
      </c>
      <c r="H912" s="7">
        <v>0</v>
      </c>
      <c r="I912" s="7">
        <v>94.32</v>
      </c>
      <c r="J912" s="7" t="s">
        <v>58</v>
      </c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5" t="s">
        <v>59</v>
      </c>
      <c r="V912" s="7" t="s">
        <v>129</v>
      </c>
      <c r="W912" s="7" t="s">
        <v>61</v>
      </c>
      <c r="X912" s="5" t="str">
        <f ca="1">IF(INDIRECT("W912")="Clássico","14%",IF(INDIRECT("W912")="Premium","19%","-"))</f>
        <v>14%</v>
      </c>
      <c r="Y912" s="7" t="s">
        <v>3641</v>
      </c>
    </row>
    <row r="913" spans="1:25" ht="50" customHeight="1" x14ac:dyDescent="0.25">
      <c r="A913" s="5" t="s">
        <v>3774</v>
      </c>
      <c r="B913" s="5" t="s">
        <v>3775</v>
      </c>
      <c r="C913" s="5" t="s">
        <v>3776</v>
      </c>
      <c r="D913" s="5"/>
      <c r="E913" s="6" t="s">
        <v>3777</v>
      </c>
      <c r="F913" s="6" t="s">
        <v>3778</v>
      </c>
      <c r="G913" s="5" t="s">
        <v>3778</v>
      </c>
      <c r="H913" s="7">
        <v>0</v>
      </c>
      <c r="I913" s="7">
        <v>93.49</v>
      </c>
      <c r="J913" s="7" t="s">
        <v>58</v>
      </c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 t="s">
        <v>59</v>
      </c>
      <c r="V913" s="7" t="s">
        <v>129</v>
      </c>
      <c r="W913" s="7" t="s">
        <v>61</v>
      </c>
      <c r="X913" s="5" t="str">
        <f ca="1">IF(INDIRECT("W913")="Clássico","14%",IF(INDIRECT("W913")="Premium","19%","-"))</f>
        <v>14%</v>
      </c>
      <c r="Y913" s="7" t="s">
        <v>3641</v>
      </c>
    </row>
    <row r="914" spans="1:25" ht="50" customHeight="1" x14ac:dyDescent="0.25">
      <c r="A914" s="5" t="s">
        <v>3779</v>
      </c>
      <c r="B914" s="5" t="s">
        <v>3780</v>
      </c>
      <c r="C914" s="5" t="s">
        <v>3781</v>
      </c>
      <c r="D914" s="5"/>
      <c r="E914" s="6" t="s">
        <v>3782</v>
      </c>
      <c r="F914" s="6" t="s">
        <v>3783</v>
      </c>
      <c r="G914" s="5" t="s">
        <v>3783</v>
      </c>
      <c r="H914" s="7">
        <v>150</v>
      </c>
      <c r="I914" s="7">
        <v>252.9</v>
      </c>
      <c r="J914" s="7" t="s">
        <v>58</v>
      </c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 t="s">
        <v>59</v>
      </c>
      <c r="V914" s="7" t="s">
        <v>129</v>
      </c>
      <c r="W914" s="7" t="s">
        <v>84</v>
      </c>
      <c r="X914" s="5" t="str">
        <f ca="1">IF(INDIRECT("W914")="Clássico","14%",IF(INDIRECT("W914")="Premium","19%","-"))</f>
        <v>19%</v>
      </c>
      <c r="Y914" s="7" t="s">
        <v>3641</v>
      </c>
    </row>
    <row r="915" spans="1:25" ht="50" customHeight="1" x14ac:dyDescent="0.25">
      <c r="A915" s="5" t="s">
        <v>3784</v>
      </c>
      <c r="B915" s="5" t="s">
        <v>3785</v>
      </c>
      <c r="C915" s="5" t="s">
        <v>3786</v>
      </c>
      <c r="D915" s="5"/>
      <c r="E915" s="6" t="s">
        <v>3787</v>
      </c>
      <c r="F915" s="6" t="s">
        <v>3788</v>
      </c>
      <c r="G915" s="5" t="s">
        <v>3788</v>
      </c>
      <c r="H915" s="7">
        <v>4</v>
      </c>
      <c r="I915" s="7">
        <v>26.49</v>
      </c>
      <c r="J915" s="7" t="s">
        <v>58</v>
      </c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 t="s">
        <v>59</v>
      </c>
      <c r="V915" s="7" t="s">
        <v>101</v>
      </c>
      <c r="W915" s="7" t="s">
        <v>61</v>
      </c>
      <c r="X915" s="5" t="str">
        <f ca="1">IF(INDIRECT("W915")="Clássico","13%",IF(INDIRECT("W915")="Premium","17%","-"))</f>
        <v>13%</v>
      </c>
      <c r="Y915" s="7" t="s">
        <v>3641</v>
      </c>
    </row>
    <row r="916" spans="1:25" ht="50" customHeight="1" x14ac:dyDescent="0.25">
      <c r="A916" s="5" t="s">
        <v>3789</v>
      </c>
      <c r="B916" s="5" t="s">
        <v>3790</v>
      </c>
      <c r="C916" s="5" t="s">
        <v>3791</v>
      </c>
      <c r="D916" s="5"/>
      <c r="E916" s="6" t="s">
        <v>3792</v>
      </c>
      <c r="F916" s="6" t="s">
        <v>3793</v>
      </c>
      <c r="G916" s="5" t="s">
        <v>3793</v>
      </c>
      <c r="H916" s="7">
        <v>12</v>
      </c>
      <c r="I916" s="7">
        <v>26.49</v>
      </c>
      <c r="J916" s="7" t="s">
        <v>58</v>
      </c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 t="s">
        <v>59</v>
      </c>
      <c r="V916" s="7" t="s">
        <v>101</v>
      </c>
      <c r="W916" s="7" t="s">
        <v>61</v>
      </c>
      <c r="X916" s="5" t="str">
        <f ca="1">IF(INDIRECT("W916")="Clássico","13%",IF(INDIRECT("W916")="Premium","17%","-"))</f>
        <v>13%</v>
      </c>
      <c r="Y916" s="7" t="s">
        <v>3641</v>
      </c>
    </row>
    <row r="917" spans="1:25" ht="50" customHeight="1" x14ac:dyDescent="0.25">
      <c r="A917" s="5" t="s">
        <v>3794</v>
      </c>
      <c r="B917" s="5" t="s">
        <v>3795</v>
      </c>
      <c r="C917" s="5" t="s">
        <v>3796</v>
      </c>
      <c r="D917" s="5"/>
      <c r="E917" s="6" t="s">
        <v>3797</v>
      </c>
      <c r="F917" s="6" t="s">
        <v>3798</v>
      </c>
      <c r="G917" s="5" t="s">
        <v>3798</v>
      </c>
      <c r="H917" s="7">
        <v>12</v>
      </c>
      <c r="I917" s="7">
        <v>26.49</v>
      </c>
      <c r="J917" s="7" t="s">
        <v>58</v>
      </c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 t="s">
        <v>59</v>
      </c>
      <c r="V917" s="7" t="s">
        <v>101</v>
      </c>
      <c r="W917" s="7" t="s">
        <v>61</v>
      </c>
      <c r="X917" s="5" t="str">
        <f ca="1">IF(INDIRECT("W917")="Clássico","13%",IF(INDIRECT("W917")="Premium","17%","-"))</f>
        <v>13%</v>
      </c>
      <c r="Y917" s="7" t="s">
        <v>3641</v>
      </c>
    </row>
    <row r="918" spans="1:25" ht="50" customHeight="1" x14ac:dyDescent="0.25">
      <c r="A918" s="5" t="s">
        <v>3799</v>
      </c>
      <c r="B918" s="5" t="s">
        <v>3800</v>
      </c>
      <c r="C918" s="5" t="s">
        <v>3801</v>
      </c>
      <c r="D918" s="5"/>
      <c r="E918" s="6" t="s">
        <v>3802</v>
      </c>
      <c r="F918" s="6" t="s">
        <v>3803</v>
      </c>
      <c r="G918" s="5" t="s">
        <v>3803</v>
      </c>
      <c r="H918" s="7">
        <v>24</v>
      </c>
      <c r="I918" s="7">
        <v>26.49</v>
      </c>
      <c r="J918" s="7" t="s">
        <v>58</v>
      </c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 t="s">
        <v>59</v>
      </c>
      <c r="V918" s="7" t="s">
        <v>101</v>
      </c>
      <c r="W918" s="7" t="s">
        <v>61</v>
      </c>
      <c r="X918" s="5" t="str">
        <f ca="1">IF(INDIRECT("W918")="Clássico","13%",IF(INDIRECT("W918")="Premium","17%","-"))</f>
        <v>13%</v>
      </c>
      <c r="Y918" s="7" t="s">
        <v>3641</v>
      </c>
    </row>
    <row r="919" spans="1:25" ht="50" customHeight="1" x14ac:dyDescent="0.25">
      <c r="A919" s="5" t="s">
        <v>3204</v>
      </c>
      <c r="B919" s="5" t="s">
        <v>3804</v>
      </c>
      <c r="C919" s="5" t="s">
        <v>3805</v>
      </c>
      <c r="D919" s="5"/>
      <c r="E919" s="6" t="s">
        <v>3207</v>
      </c>
      <c r="F919" s="6" t="s">
        <v>3806</v>
      </c>
      <c r="G919" s="5" t="s">
        <v>3806</v>
      </c>
      <c r="H919" s="7">
        <v>24</v>
      </c>
      <c r="I919" s="7">
        <v>26.49</v>
      </c>
      <c r="J919" s="7" t="s">
        <v>58</v>
      </c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 t="s">
        <v>59</v>
      </c>
      <c r="V919" s="7" t="s">
        <v>101</v>
      </c>
      <c r="W919" s="7" t="s">
        <v>61</v>
      </c>
      <c r="X919" s="5" t="str">
        <f ca="1">IF(INDIRECT("W919")="Clássico","13%",IF(INDIRECT("W919")="Premium","17%","-"))</f>
        <v>13%</v>
      </c>
      <c r="Y919" s="7" t="s">
        <v>3641</v>
      </c>
    </row>
    <row r="920" spans="1:25" ht="50" customHeight="1" x14ac:dyDescent="0.25">
      <c r="A920" s="5" t="s">
        <v>3668</v>
      </c>
      <c r="B920" s="5" t="s">
        <v>3807</v>
      </c>
      <c r="C920" s="5" t="s">
        <v>3670</v>
      </c>
      <c r="D920" s="5"/>
      <c r="E920" s="6" t="s">
        <v>3671</v>
      </c>
      <c r="F920" s="5" t="s">
        <v>1799</v>
      </c>
      <c r="G920" s="5" t="s">
        <v>78</v>
      </c>
      <c r="H920" s="7">
        <v>0</v>
      </c>
      <c r="I920" s="7">
        <v>26.49</v>
      </c>
      <c r="J920" s="7" t="s">
        <v>58</v>
      </c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5" t="s">
        <v>59</v>
      </c>
      <c r="V920" s="7" t="s">
        <v>60</v>
      </c>
      <c r="W920" s="7" t="s">
        <v>61</v>
      </c>
      <c r="X920" s="5" t="str">
        <f ca="1">IF(INDIRECT("W920")="Clássico","13%",IF(INDIRECT("W920")="Premium","17%","-"))</f>
        <v>13%</v>
      </c>
      <c r="Y920" s="7" t="s">
        <v>3641</v>
      </c>
    </row>
    <row r="921" spans="1:25" ht="50" customHeight="1" x14ac:dyDescent="0.25">
      <c r="A921" s="5" t="s">
        <v>3808</v>
      </c>
      <c r="B921" s="5" t="s">
        <v>3809</v>
      </c>
      <c r="C921" s="5" t="s">
        <v>3810</v>
      </c>
      <c r="D921" s="5"/>
      <c r="E921" s="6" t="s">
        <v>3811</v>
      </c>
      <c r="F921" s="5" t="s">
        <v>3812</v>
      </c>
      <c r="G921" s="5" t="s">
        <v>78</v>
      </c>
      <c r="H921" s="7">
        <v>0</v>
      </c>
      <c r="I921" s="7">
        <v>31.49</v>
      </c>
      <c r="J921" s="7" t="s">
        <v>58</v>
      </c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5" t="s">
        <v>59</v>
      </c>
      <c r="V921" s="7" t="s">
        <v>60</v>
      </c>
      <c r="W921" s="7" t="s">
        <v>61</v>
      </c>
      <c r="X921" s="5" t="str">
        <f ca="1">IF(INDIRECT("W921")="Clássico","14%",IF(INDIRECT("W921")="Premium","19%","-"))</f>
        <v>14%</v>
      </c>
      <c r="Y921" s="7" t="s">
        <v>3641</v>
      </c>
    </row>
    <row r="922" spans="1:25" ht="50" customHeight="1" x14ac:dyDescent="0.25">
      <c r="A922" s="5" t="s">
        <v>3774</v>
      </c>
      <c r="B922" s="5" t="s">
        <v>3813</v>
      </c>
      <c r="C922" s="5" t="s">
        <v>3776</v>
      </c>
      <c r="D922" s="5"/>
      <c r="E922" s="6" t="s">
        <v>3777</v>
      </c>
      <c r="F922" s="5" t="s">
        <v>3814</v>
      </c>
      <c r="G922" s="5" t="s">
        <v>78</v>
      </c>
      <c r="H922" s="7">
        <v>0</v>
      </c>
      <c r="I922" s="7">
        <v>93.49</v>
      </c>
      <c r="J922" s="7" t="s">
        <v>58</v>
      </c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5" t="s">
        <v>59</v>
      </c>
      <c r="V922" s="7" t="s">
        <v>129</v>
      </c>
      <c r="W922" s="7" t="s">
        <v>61</v>
      </c>
      <c r="X922" s="5" t="str">
        <f ca="1">IF(INDIRECT("W922")="Clássico","14%",IF(INDIRECT("W922")="Premium","19%","-"))</f>
        <v>14%</v>
      </c>
      <c r="Y922" s="7" t="s">
        <v>3641</v>
      </c>
    </row>
    <row r="923" spans="1:25" ht="50" customHeight="1" x14ac:dyDescent="0.25">
      <c r="A923" s="5" t="s">
        <v>3815</v>
      </c>
      <c r="B923" s="5" t="s">
        <v>3816</v>
      </c>
      <c r="C923" s="5" t="s">
        <v>3817</v>
      </c>
      <c r="D923" s="5"/>
      <c r="E923" s="6" t="s">
        <v>3818</v>
      </c>
      <c r="F923" s="5" t="s">
        <v>3819</v>
      </c>
      <c r="G923" s="5" t="s">
        <v>78</v>
      </c>
      <c r="H923" s="7">
        <v>0</v>
      </c>
      <c r="I923" s="7">
        <v>47.49</v>
      </c>
      <c r="J923" s="7" t="s">
        <v>58</v>
      </c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5" t="s">
        <v>59</v>
      </c>
      <c r="V923" s="7" t="s">
        <v>60</v>
      </c>
      <c r="W923" s="7" t="s">
        <v>61</v>
      </c>
      <c r="X923" s="5" t="str">
        <f ca="1">IF(INDIRECT("W923")="Clássico","14%",IF(INDIRECT("W923")="Premium","19%","-"))</f>
        <v>14%</v>
      </c>
      <c r="Y923" s="7" t="s">
        <v>3641</v>
      </c>
    </row>
    <row r="924" spans="1:25" ht="50" customHeight="1" x14ac:dyDescent="0.25">
      <c r="A924" s="5" t="s">
        <v>3820</v>
      </c>
      <c r="B924" s="5" t="s">
        <v>3821</v>
      </c>
      <c r="C924" s="5" t="s">
        <v>3822</v>
      </c>
      <c r="D924" s="5"/>
      <c r="E924" s="6" t="s">
        <v>3823</v>
      </c>
      <c r="F924" s="6" t="s">
        <v>3824</v>
      </c>
      <c r="G924" s="5" t="s">
        <v>3824</v>
      </c>
      <c r="H924" s="7">
        <v>4</v>
      </c>
      <c r="I924" s="7">
        <v>26.49</v>
      </c>
      <c r="J924" s="7" t="s">
        <v>58</v>
      </c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 t="s">
        <v>59</v>
      </c>
      <c r="V924" s="7" t="s">
        <v>101</v>
      </c>
      <c r="W924" s="7" t="s">
        <v>61</v>
      </c>
      <c r="X924" s="5" t="str">
        <f ca="1">IF(INDIRECT("W924")="Clássico","13%",IF(INDIRECT("W924")="Premium","17%","-"))</f>
        <v>13%</v>
      </c>
      <c r="Y924" s="7" t="s">
        <v>3641</v>
      </c>
    </row>
    <row r="925" spans="1:25" ht="50" customHeight="1" x14ac:dyDescent="0.25">
      <c r="A925" s="5" t="s">
        <v>3825</v>
      </c>
      <c r="B925" s="5" t="s">
        <v>3826</v>
      </c>
      <c r="C925" s="5" t="s">
        <v>3827</v>
      </c>
      <c r="D925" s="5"/>
      <c r="E925" s="6" t="s">
        <v>3828</v>
      </c>
      <c r="F925" s="6" t="s">
        <v>3829</v>
      </c>
      <c r="G925" s="5" t="s">
        <v>3829</v>
      </c>
      <c r="H925" s="7">
        <v>12</v>
      </c>
      <c r="I925" s="7">
        <v>26.49</v>
      </c>
      <c r="J925" s="7" t="s">
        <v>58</v>
      </c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 t="s">
        <v>59</v>
      </c>
      <c r="V925" s="7" t="s">
        <v>101</v>
      </c>
      <c r="W925" s="7" t="s">
        <v>61</v>
      </c>
      <c r="X925" s="5" t="str">
        <f ca="1">IF(INDIRECT("W925")="Clássico","13%",IF(INDIRECT("W925")="Premium","17%","-"))</f>
        <v>13%</v>
      </c>
      <c r="Y925" s="7" t="s">
        <v>3641</v>
      </c>
    </row>
    <row r="926" spans="1:25" ht="50" customHeight="1" x14ac:dyDescent="0.25">
      <c r="A926" s="5" t="s">
        <v>3830</v>
      </c>
      <c r="B926" s="5" t="s">
        <v>3831</v>
      </c>
      <c r="C926" s="5" t="s">
        <v>3832</v>
      </c>
      <c r="D926" s="5"/>
      <c r="E926" s="6" t="s">
        <v>3833</v>
      </c>
      <c r="F926" s="6" t="s">
        <v>3834</v>
      </c>
      <c r="G926" s="5" t="s">
        <v>3834</v>
      </c>
      <c r="H926" s="7">
        <v>4</v>
      </c>
      <c r="I926" s="7">
        <v>26.49</v>
      </c>
      <c r="J926" s="7" t="s">
        <v>58</v>
      </c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 t="s">
        <v>59</v>
      </c>
      <c r="V926" s="7" t="s">
        <v>101</v>
      </c>
      <c r="W926" s="7" t="s">
        <v>61</v>
      </c>
      <c r="X926" s="5" t="str">
        <f ca="1">IF(INDIRECT("W926")="Clássico","13%",IF(INDIRECT("W926")="Premium","17%","-"))</f>
        <v>13%</v>
      </c>
      <c r="Y926" s="7" t="s">
        <v>3641</v>
      </c>
    </row>
    <row r="927" spans="1:25" ht="50" customHeight="1" x14ac:dyDescent="0.25">
      <c r="A927" s="5" t="s">
        <v>3835</v>
      </c>
      <c r="B927" s="5" t="s">
        <v>3836</v>
      </c>
      <c r="C927" s="5" t="s">
        <v>3837</v>
      </c>
      <c r="D927" s="5"/>
      <c r="E927" s="6" t="s">
        <v>3838</v>
      </c>
      <c r="F927" s="6" t="s">
        <v>3839</v>
      </c>
      <c r="G927" s="5" t="s">
        <v>3839</v>
      </c>
      <c r="H927" s="7">
        <v>12</v>
      </c>
      <c r="I927" s="7">
        <v>26.49</v>
      </c>
      <c r="J927" s="7" t="s">
        <v>58</v>
      </c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 t="s">
        <v>59</v>
      </c>
      <c r="V927" s="7" t="s">
        <v>101</v>
      </c>
      <c r="W927" s="7" t="s">
        <v>61</v>
      </c>
      <c r="X927" s="5" t="str">
        <f ca="1">IF(INDIRECT("W927")="Clássico","13%",IF(INDIRECT("W927")="Premium","17%","-"))</f>
        <v>13%</v>
      </c>
      <c r="Y927" s="7" t="s">
        <v>3641</v>
      </c>
    </row>
    <row r="928" spans="1:25" ht="50" customHeight="1" x14ac:dyDescent="0.25">
      <c r="A928" s="5" t="s">
        <v>3840</v>
      </c>
      <c r="B928" s="5" t="s">
        <v>3841</v>
      </c>
      <c r="C928" s="5" t="s">
        <v>3842</v>
      </c>
      <c r="D928" s="5"/>
      <c r="E928" s="6" t="s">
        <v>3843</v>
      </c>
      <c r="F928" s="6" t="s">
        <v>3844</v>
      </c>
      <c r="G928" s="5" t="s">
        <v>3844</v>
      </c>
      <c r="H928" s="7">
        <v>12</v>
      </c>
      <c r="I928" s="7">
        <v>26.49</v>
      </c>
      <c r="J928" s="7" t="s">
        <v>58</v>
      </c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 t="s">
        <v>59</v>
      </c>
      <c r="V928" s="7" t="s">
        <v>101</v>
      </c>
      <c r="W928" s="7" t="s">
        <v>61</v>
      </c>
      <c r="X928" s="5" t="str">
        <f ca="1">IF(INDIRECT("W928")="Clássico","13%",IF(INDIRECT("W928")="Premium","17%","-"))</f>
        <v>13%</v>
      </c>
      <c r="Y928" s="7" t="s">
        <v>3641</v>
      </c>
    </row>
    <row r="929" spans="1:25" ht="50" customHeight="1" x14ac:dyDescent="0.25">
      <c r="A929" s="5" t="s">
        <v>3845</v>
      </c>
      <c r="B929" s="5" t="s">
        <v>3846</v>
      </c>
      <c r="C929" s="5" t="s">
        <v>3847</v>
      </c>
      <c r="D929" s="5"/>
      <c r="E929" s="6" t="s">
        <v>3848</v>
      </c>
      <c r="F929" s="6" t="s">
        <v>3849</v>
      </c>
      <c r="G929" s="5" t="s">
        <v>3849</v>
      </c>
      <c r="H929" s="7">
        <v>4</v>
      </c>
      <c r="I929" s="7">
        <v>26.49</v>
      </c>
      <c r="J929" s="7" t="s">
        <v>58</v>
      </c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 t="s">
        <v>59</v>
      </c>
      <c r="V929" s="7" t="s">
        <v>101</v>
      </c>
      <c r="W929" s="7" t="s">
        <v>61</v>
      </c>
      <c r="X929" s="5" t="str">
        <f ca="1">IF(INDIRECT("W929")="Clássico","13%",IF(INDIRECT("W929")="Premium","17%","-"))</f>
        <v>13%</v>
      </c>
      <c r="Y929" s="7" t="s">
        <v>3641</v>
      </c>
    </row>
    <row r="930" spans="1:25" ht="50" customHeight="1" x14ac:dyDescent="0.25">
      <c r="A930" s="5" t="s">
        <v>3850</v>
      </c>
      <c r="B930" s="5" t="s">
        <v>3851</v>
      </c>
      <c r="C930" s="5" t="s">
        <v>3852</v>
      </c>
      <c r="D930" s="5"/>
      <c r="E930" s="6" t="s">
        <v>3853</v>
      </c>
      <c r="F930" s="6" t="s">
        <v>3854</v>
      </c>
      <c r="G930" s="5" t="s">
        <v>3854</v>
      </c>
      <c r="H930" s="7">
        <v>4</v>
      </c>
      <c r="I930" s="7">
        <v>26.49</v>
      </c>
      <c r="J930" s="7" t="s">
        <v>58</v>
      </c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 t="s">
        <v>59</v>
      </c>
      <c r="V930" s="7" t="s">
        <v>101</v>
      </c>
      <c r="W930" s="7" t="s">
        <v>61</v>
      </c>
      <c r="X930" s="5" t="str">
        <f ca="1">IF(INDIRECT("W930")="Clássico","13%",IF(INDIRECT("W930")="Premium","17%","-"))</f>
        <v>13%</v>
      </c>
      <c r="Y930" s="7" t="s">
        <v>3641</v>
      </c>
    </row>
    <row r="931" spans="1:25" ht="50" customHeight="1" x14ac:dyDescent="0.25">
      <c r="A931" s="5" t="s">
        <v>3855</v>
      </c>
      <c r="B931" s="5" t="s">
        <v>3856</v>
      </c>
      <c r="C931" s="5" t="s">
        <v>3857</v>
      </c>
      <c r="D931" s="5"/>
      <c r="E931" s="6" t="s">
        <v>3858</v>
      </c>
      <c r="F931" s="6" t="s">
        <v>3859</v>
      </c>
      <c r="G931" s="5" t="s">
        <v>3859</v>
      </c>
      <c r="H931" s="7">
        <v>2</v>
      </c>
      <c r="I931" s="7">
        <v>26.49</v>
      </c>
      <c r="J931" s="7" t="s">
        <v>58</v>
      </c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 t="s">
        <v>59</v>
      </c>
      <c r="V931" s="7" t="s">
        <v>60</v>
      </c>
      <c r="W931" s="7" t="s">
        <v>61</v>
      </c>
      <c r="X931" s="5" t="str">
        <f ca="1">IF(INDIRECT("W931")="Clássico","13%",IF(INDIRECT("W931")="Premium","17%","-"))</f>
        <v>13%</v>
      </c>
      <c r="Y931" s="7" t="s">
        <v>3641</v>
      </c>
    </row>
    <row r="932" spans="1:25" ht="50" customHeight="1" x14ac:dyDescent="0.25">
      <c r="A932" s="5" t="s">
        <v>3860</v>
      </c>
      <c r="B932" s="5" t="s">
        <v>3861</v>
      </c>
      <c r="C932" s="5" t="s">
        <v>3862</v>
      </c>
      <c r="D932" s="5"/>
      <c r="E932" s="6" t="s">
        <v>3863</v>
      </c>
      <c r="F932" s="6" t="s">
        <v>3864</v>
      </c>
      <c r="G932" s="5" t="s">
        <v>3864</v>
      </c>
      <c r="H932" s="7">
        <v>0</v>
      </c>
      <c r="I932" s="7">
        <v>26.49</v>
      </c>
      <c r="J932" s="7" t="s">
        <v>58</v>
      </c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 t="s">
        <v>59</v>
      </c>
      <c r="V932" s="7" t="s">
        <v>60</v>
      </c>
      <c r="W932" s="7" t="s">
        <v>61</v>
      </c>
      <c r="X932" s="5" t="str">
        <f ca="1">IF(INDIRECT("W932")="Clássico","13%",IF(INDIRECT("W932")="Premium","17%","-"))</f>
        <v>13%</v>
      </c>
      <c r="Y932" s="7" t="s">
        <v>3641</v>
      </c>
    </row>
    <row r="933" spans="1:25" ht="50" customHeight="1" x14ac:dyDescent="0.25">
      <c r="A933" s="5" t="s">
        <v>3865</v>
      </c>
      <c r="B933" s="5" t="s">
        <v>3866</v>
      </c>
      <c r="C933" s="5" t="s">
        <v>3867</v>
      </c>
      <c r="D933" s="5"/>
      <c r="E933" s="6" t="s">
        <v>3868</v>
      </c>
      <c r="F933" s="6" t="s">
        <v>3869</v>
      </c>
      <c r="G933" s="5" t="s">
        <v>3869</v>
      </c>
      <c r="H933" s="7">
        <v>6</v>
      </c>
      <c r="I933" s="7">
        <v>26.49</v>
      </c>
      <c r="J933" s="7" t="s">
        <v>58</v>
      </c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 t="s">
        <v>59</v>
      </c>
      <c r="V933" s="7" t="s">
        <v>60</v>
      </c>
      <c r="W933" s="7" t="s">
        <v>61</v>
      </c>
      <c r="X933" s="5" t="str">
        <f ca="1">IF(INDIRECT("W933")="Clássico","13%",IF(INDIRECT("W933")="Premium","17%","-"))</f>
        <v>13%</v>
      </c>
      <c r="Y933" s="7" t="s">
        <v>3641</v>
      </c>
    </row>
    <row r="934" spans="1:25" ht="50" customHeight="1" x14ac:dyDescent="0.25">
      <c r="A934" s="5" t="s">
        <v>3870</v>
      </c>
      <c r="B934" s="5" t="s">
        <v>3871</v>
      </c>
      <c r="C934" s="5" t="s">
        <v>3872</v>
      </c>
      <c r="D934" s="5"/>
      <c r="E934" s="6" t="s">
        <v>3873</v>
      </c>
      <c r="F934" s="6" t="s">
        <v>3874</v>
      </c>
      <c r="G934" s="5" t="s">
        <v>3874</v>
      </c>
      <c r="H934" s="7">
        <v>6</v>
      </c>
      <c r="I934" s="7">
        <v>26.49</v>
      </c>
      <c r="J934" s="7" t="s">
        <v>58</v>
      </c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 t="s">
        <v>59</v>
      </c>
      <c r="V934" s="7" t="s">
        <v>60</v>
      </c>
      <c r="W934" s="7" t="s">
        <v>61</v>
      </c>
      <c r="X934" s="5" t="str">
        <f ca="1">IF(INDIRECT("W934")="Clássico","13%",IF(INDIRECT("W934")="Premium","17%","-"))</f>
        <v>13%</v>
      </c>
      <c r="Y934" s="7" t="s">
        <v>3641</v>
      </c>
    </row>
    <row r="935" spans="1:25" ht="50" customHeight="1" x14ac:dyDescent="0.25">
      <c r="A935" s="5" t="s">
        <v>3875</v>
      </c>
      <c r="B935" s="5" t="s">
        <v>3876</v>
      </c>
      <c r="C935" s="5" t="s">
        <v>3877</v>
      </c>
      <c r="D935" s="5"/>
      <c r="E935" s="6" t="s">
        <v>3878</v>
      </c>
      <c r="F935" s="6" t="s">
        <v>3879</v>
      </c>
      <c r="G935" s="5" t="s">
        <v>3879</v>
      </c>
      <c r="H935" s="7">
        <v>10</v>
      </c>
      <c r="I935" s="7">
        <v>89.49</v>
      </c>
      <c r="J935" s="7" t="s">
        <v>58</v>
      </c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 t="s">
        <v>59</v>
      </c>
      <c r="V935" s="7" t="s">
        <v>101</v>
      </c>
      <c r="W935" s="7" t="s">
        <v>61</v>
      </c>
      <c r="X935" s="5" t="str">
        <f ca="1">IF(INDIRECT("W935")="Clássico","13%",IF(INDIRECT("W935")="Premium","17%","-"))</f>
        <v>13%</v>
      </c>
      <c r="Y935" s="7" t="s">
        <v>3641</v>
      </c>
    </row>
    <row r="936" spans="1:25" ht="50" customHeight="1" x14ac:dyDescent="0.25">
      <c r="A936" s="5" t="s">
        <v>3880</v>
      </c>
      <c r="B936" s="5" t="s">
        <v>3881</v>
      </c>
      <c r="C936" s="5" t="s">
        <v>3882</v>
      </c>
      <c r="D936" s="5"/>
      <c r="E936" s="6" t="s">
        <v>3883</v>
      </c>
      <c r="F936" s="6" t="s">
        <v>3884</v>
      </c>
      <c r="G936" s="5" t="s">
        <v>3884</v>
      </c>
      <c r="H936" s="7">
        <v>0</v>
      </c>
      <c r="I936" s="7">
        <v>30.49</v>
      </c>
      <c r="J936" s="7" t="s">
        <v>58</v>
      </c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 t="s">
        <v>59</v>
      </c>
      <c r="V936" s="7" t="s">
        <v>60</v>
      </c>
      <c r="W936" s="7" t="s">
        <v>61</v>
      </c>
      <c r="X936" s="5" t="str">
        <f ca="1">IF(INDIRECT("W936")="Clássico","14%",IF(INDIRECT("W936")="Premium","19%","-"))</f>
        <v>14%</v>
      </c>
      <c r="Y936" s="7" t="s">
        <v>3641</v>
      </c>
    </row>
    <row r="937" spans="1:25" ht="50" customHeight="1" x14ac:dyDescent="0.25">
      <c r="A937" s="5" t="s">
        <v>3190</v>
      </c>
      <c r="B937" s="5" t="s">
        <v>3885</v>
      </c>
      <c r="C937" s="5" t="s">
        <v>3886</v>
      </c>
      <c r="D937" s="5"/>
      <c r="E937" s="6" t="s">
        <v>3193</v>
      </c>
      <c r="F937" s="6" t="s">
        <v>3887</v>
      </c>
      <c r="G937" s="5" t="s">
        <v>3887</v>
      </c>
      <c r="H937" s="7">
        <v>12</v>
      </c>
      <c r="I937" s="7">
        <v>26.49</v>
      </c>
      <c r="J937" s="7" t="s">
        <v>58</v>
      </c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 t="s">
        <v>59</v>
      </c>
      <c r="V937" s="7" t="s">
        <v>101</v>
      </c>
      <c r="W937" s="7" t="s">
        <v>61</v>
      </c>
      <c r="X937" s="5" t="str">
        <f ca="1">IF(INDIRECT("W937")="Clássico","13%",IF(INDIRECT("W937")="Premium","17%","-"))</f>
        <v>13%</v>
      </c>
      <c r="Y937" s="7" t="s">
        <v>3641</v>
      </c>
    </row>
    <row r="938" spans="1:25" ht="50" customHeight="1" x14ac:dyDescent="0.25">
      <c r="A938" s="5" t="s">
        <v>3888</v>
      </c>
      <c r="B938" s="5" t="s">
        <v>3889</v>
      </c>
      <c r="C938" s="5" t="s">
        <v>3890</v>
      </c>
      <c r="D938" s="5"/>
      <c r="E938" s="6" t="s">
        <v>3891</v>
      </c>
      <c r="F938" s="6" t="s">
        <v>3892</v>
      </c>
      <c r="G938" s="5" t="s">
        <v>3892</v>
      </c>
      <c r="H938" s="7">
        <v>8</v>
      </c>
      <c r="I938" s="7">
        <v>26.49</v>
      </c>
      <c r="J938" s="7" t="s">
        <v>58</v>
      </c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 t="s">
        <v>59</v>
      </c>
      <c r="V938" s="7" t="s">
        <v>101</v>
      </c>
      <c r="W938" s="7" t="s">
        <v>61</v>
      </c>
      <c r="X938" s="5" t="str">
        <f ca="1">IF(INDIRECT("W938")="Clássico","13%",IF(INDIRECT("W938")="Premium","17%","-"))</f>
        <v>13%</v>
      </c>
      <c r="Y938" s="7" t="s">
        <v>3641</v>
      </c>
    </row>
    <row r="939" spans="1:25" ht="50" customHeight="1" x14ac:dyDescent="0.25">
      <c r="A939" s="5" t="s">
        <v>3893</v>
      </c>
      <c r="B939" s="5" t="s">
        <v>3894</v>
      </c>
      <c r="C939" s="5" t="s">
        <v>3895</v>
      </c>
      <c r="D939" s="5"/>
      <c r="E939" s="6" t="s">
        <v>3896</v>
      </c>
      <c r="F939" s="6" t="s">
        <v>3897</v>
      </c>
      <c r="G939" s="5" t="s">
        <v>3897</v>
      </c>
      <c r="H939" s="7">
        <v>12</v>
      </c>
      <c r="I939" s="7">
        <v>26.49</v>
      </c>
      <c r="J939" s="7" t="s">
        <v>58</v>
      </c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 t="s">
        <v>59</v>
      </c>
      <c r="V939" s="7" t="s">
        <v>101</v>
      </c>
      <c r="W939" s="7" t="s">
        <v>61</v>
      </c>
      <c r="X939" s="5" t="str">
        <f ca="1">IF(INDIRECT("W939")="Clássico","13%",IF(INDIRECT("W939")="Premium","17%","-"))</f>
        <v>13%</v>
      </c>
      <c r="Y939" s="7" t="s">
        <v>3641</v>
      </c>
    </row>
    <row r="940" spans="1:25" ht="50" customHeight="1" x14ac:dyDescent="0.25">
      <c r="A940" s="5" t="s">
        <v>3898</v>
      </c>
      <c r="B940" s="5" t="s">
        <v>3899</v>
      </c>
      <c r="C940" s="5" t="s">
        <v>3900</v>
      </c>
      <c r="D940" s="5"/>
      <c r="E940" s="6" t="s">
        <v>3901</v>
      </c>
      <c r="F940" s="6" t="s">
        <v>3902</v>
      </c>
      <c r="G940" s="5" t="s">
        <v>3902</v>
      </c>
      <c r="H940" s="7">
        <v>6</v>
      </c>
      <c r="I940" s="7">
        <v>26.49</v>
      </c>
      <c r="J940" s="7" t="s">
        <v>58</v>
      </c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 t="s">
        <v>59</v>
      </c>
      <c r="V940" s="7" t="s">
        <v>60</v>
      </c>
      <c r="W940" s="7" t="s">
        <v>61</v>
      </c>
      <c r="X940" s="5" t="str">
        <f ca="1">IF(INDIRECT("W940")="Clássico","13%",IF(INDIRECT("W940")="Premium","17%","-"))</f>
        <v>13%</v>
      </c>
      <c r="Y940" s="7" t="s">
        <v>3641</v>
      </c>
    </row>
    <row r="941" spans="1:25" ht="50" customHeight="1" x14ac:dyDescent="0.25">
      <c r="A941" s="5" t="s">
        <v>3903</v>
      </c>
      <c r="B941" s="5" t="s">
        <v>3904</v>
      </c>
      <c r="C941" s="5" t="s">
        <v>3905</v>
      </c>
      <c r="D941" s="5"/>
      <c r="E941" s="6" t="s">
        <v>3906</v>
      </c>
      <c r="F941" s="6" t="s">
        <v>3907</v>
      </c>
      <c r="G941" s="5" t="s">
        <v>3907</v>
      </c>
      <c r="H941" s="7">
        <v>6</v>
      </c>
      <c r="I941" s="7">
        <v>26.49</v>
      </c>
      <c r="J941" s="7" t="s">
        <v>58</v>
      </c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 t="s">
        <v>59</v>
      </c>
      <c r="V941" s="7" t="s">
        <v>60</v>
      </c>
      <c r="W941" s="7" t="s">
        <v>61</v>
      </c>
      <c r="X941" s="5" t="str">
        <f ca="1">IF(INDIRECT("W941")="Clássico","13%",IF(INDIRECT("W941")="Premium","17%","-"))</f>
        <v>13%</v>
      </c>
      <c r="Y941" s="7" t="s">
        <v>3641</v>
      </c>
    </row>
    <row r="942" spans="1:25" ht="50" customHeight="1" x14ac:dyDescent="0.25">
      <c r="A942" s="5" t="s">
        <v>3908</v>
      </c>
      <c r="B942" s="5" t="s">
        <v>3909</v>
      </c>
      <c r="C942" s="5" t="s">
        <v>3910</v>
      </c>
      <c r="D942" s="5"/>
      <c r="E942" s="6" t="s">
        <v>3911</v>
      </c>
      <c r="F942" s="6" t="s">
        <v>3912</v>
      </c>
      <c r="G942" s="5" t="s">
        <v>3912</v>
      </c>
      <c r="H942" s="7">
        <v>6</v>
      </c>
      <c r="I942" s="7">
        <v>26.49</v>
      </c>
      <c r="J942" s="7" t="s">
        <v>58</v>
      </c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 t="s">
        <v>59</v>
      </c>
      <c r="V942" s="7" t="s">
        <v>60</v>
      </c>
      <c r="W942" s="7" t="s">
        <v>61</v>
      </c>
      <c r="X942" s="5" t="str">
        <f ca="1">IF(INDIRECT("W942")="Clássico","13%",IF(INDIRECT("W942")="Premium","17%","-"))</f>
        <v>13%</v>
      </c>
      <c r="Y942" s="7" t="s">
        <v>3641</v>
      </c>
    </row>
    <row r="943" spans="1:25" ht="50" customHeight="1" x14ac:dyDescent="0.25">
      <c r="A943" s="5" t="s">
        <v>3104</v>
      </c>
      <c r="B943" s="5" t="s">
        <v>3913</v>
      </c>
      <c r="C943" s="5" t="s">
        <v>3914</v>
      </c>
      <c r="D943" s="5"/>
      <c r="E943" s="6" t="s">
        <v>3107</v>
      </c>
      <c r="F943" s="6" t="s">
        <v>3915</v>
      </c>
      <c r="G943" s="5" t="s">
        <v>3915</v>
      </c>
      <c r="H943" s="7">
        <v>12</v>
      </c>
      <c r="I943" s="7">
        <v>26.49</v>
      </c>
      <c r="J943" s="7" t="s">
        <v>58</v>
      </c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 t="s">
        <v>59</v>
      </c>
      <c r="V943" s="7" t="s">
        <v>101</v>
      </c>
      <c r="W943" s="7" t="s">
        <v>61</v>
      </c>
      <c r="X943" s="5" t="str">
        <f ca="1">IF(INDIRECT("W943")="Clássico","13%",IF(INDIRECT("W943")="Premium","17%","-"))</f>
        <v>13%</v>
      </c>
      <c r="Y943" s="7" t="s">
        <v>3641</v>
      </c>
    </row>
    <row r="944" spans="1:25" ht="50" customHeight="1" x14ac:dyDescent="0.25">
      <c r="A944" s="5" t="s">
        <v>3916</v>
      </c>
      <c r="B944" s="5" t="s">
        <v>3917</v>
      </c>
      <c r="C944" s="5" t="s">
        <v>3918</v>
      </c>
      <c r="D944" s="5"/>
      <c r="E944" s="6" t="s">
        <v>3919</v>
      </c>
      <c r="F944" s="6" t="s">
        <v>3920</v>
      </c>
      <c r="G944" s="5" t="s">
        <v>3920</v>
      </c>
      <c r="H944" s="7">
        <v>4</v>
      </c>
      <c r="I944" s="7">
        <v>26.49</v>
      </c>
      <c r="J944" s="7" t="s">
        <v>58</v>
      </c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 t="s">
        <v>59</v>
      </c>
      <c r="V944" s="7" t="s">
        <v>101</v>
      </c>
      <c r="W944" s="7" t="s">
        <v>61</v>
      </c>
      <c r="X944" s="5" t="str">
        <f ca="1">IF(INDIRECT("W944")="Clássico","13%",IF(INDIRECT("W944")="Premium","17%","-"))</f>
        <v>13%</v>
      </c>
      <c r="Y944" s="7" t="s">
        <v>3641</v>
      </c>
    </row>
    <row r="945" spans="1:25" ht="50" customHeight="1" x14ac:dyDescent="0.25">
      <c r="A945" s="5" t="s">
        <v>3759</v>
      </c>
      <c r="B945" s="5" t="s">
        <v>3921</v>
      </c>
      <c r="C945" s="5" t="s">
        <v>3761</v>
      </c>
      <c r="D945" s="5"/>
      <c r="E945" s="6" t="s">
        <v>3762</v>
      </c>
      <c r="F945" s="5" t="s">
        <v>3922</v>
      </c>
      <c r="G945" s="5" t="s">
        <v>78</v>
      </c>
      <c r="H945" s="7">
        <v>0</v>
      </c>
      <c r="I945" s="7">
        <v>51.49</v>
      </c>
      <c r="J945" s="7" t="s">
        <v>58</v>
      </c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5" t="s">
        <v>59</v>
      </c>
      <c r="V945" s="7" t="s">
        <v>60</v>
      </c>
      <c r="W945" s="7" t="s">
        <v>61</v>
      </c>
      <c r="X945" s="5" t="str">
        <f ca="1">IF(INDIRECT("W945")="Clássico","14%",IF(INDIRECT("W945")="Premium","19%","-"))</f>
        <v>14%</v>
      </c>
      <c r="Y945" s="7" t="s">
        <v>3641</v>
      </c>
    </row>
    <row r="946" spans="1:25" ht="50" customHeight="1" x14ac:dyDescent="0.25">
      <c r="A946" s="5" t="s">
        <v>3923</v>
      </c>
      <c r="B946" s="5" t="s">
        <v>3924</v>
      </c>
      <c r="C946" s="5" t="s">
        <v>3925</v>
      </c>
      <c r="D946" s="5"/>
      <c r="E946" s="6" t="s">
        <v>3926</v>
      </c>
      <c r="F946" s="6" t="s">
        <v>3927</v>
      </c>
      <c r="G946" s="5" t="s">
        <v>3927</v>
      </c>
      <c r="H946" s="7">
        <v>4</v>
      </c>
      <c r="I946" s="7">
        <v>26.49</v>
      </c>
      <c r="J946" s="7" t="s">
        <v>58</v>
      </c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 t="s">
        <v>59</v>
      </c>
      <c r="V946" s="7" t="s">
        <v>101</v>
      </c>
      <c r="W946" s="7" t="s">
        <v>61</v>
      </c>
      <c r="X946" s="5" t="str">
        <f ca="1">IF(INDIRECT("W946")="Clássico","13%",IF(INDIRECT("W946")="Premium","17%","-"))</f>
        <v>13%</v>
      </c>
      <c r="Y946" s="7" t="s">
        <v>3641</v>
      </c>
    </row>
    <row r="947" spans="1:25" ht="50" customHeight="1" x14ac:dyDescent="0.25">
      <c r="A947" s="5" t="s">
        <v>3928</v>
      </c>
      <c r="B947" s="5" t="s">
        <v>3929</v>
      </c>
      <c r="C947" s="5" t="s">
        <v>3930</v>
      </c>
      <c r="D947" s="5"/>
      <c r="E947" s="6" t="s">
        <v>3931</v>
      </c>
      <c r="F947" s="6" t="s">
        <v>3932</v>
      </c>
      <c r="G947" s="5" t="s">
        <v>3932</v>
      </c>
      <c r="H947" s="7">
        <v>24</v>
      </c>
      <c r="I947" s="7">
        <v>26.49</v>
      </c>
      <c r="J947" s="7" t="s">
        <v>58</v>
      </c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 t="s">
        <v>59</v>
      </c>
      <c r="V947" s="7" t="s">
        <v>101</v>
      </c>
      <c r="W947" s="7" t="s">
        <v>61</v>
      </c>
      <c r="X947" s="5" t="str">
        <f ca="1">IF(INDIRECT("W947")="Clássico","13%",IF(INDIRECT("W947")="Premium","17%","-"))</f>
        <v>13%</v>
      </c>
      <c r="Y947" s="7" t="s">
        <v>3641</v>
      </c>
    </row>
    <row r="948" spans="1:25" ht="50" customHeight="1" x14ac:dyDescent="0.25">
      <c r="A948" s="5" t="s">
        <v>3808</v>
      </c>
      <c r="B948" s="5" t="s">
        <v>3933</v>
      </c>
      <c r="C948" s="5" t="s">
        <v>3810</v>
      </c>
      <c r="D948" s="5"/>
      <c r="E948" s="6" t="s">
        <v>3811</v>
      </c>
      <c r="F948" s="6" t="s">
        <v>3934</v>
      </c>
      <c r="G948" s="5" t="s">
        <v>3934</v>
      </c>
      <c r="H948" s="7">
        <v>0</v>
      </c>
      <c r="I948" s="7">
        <v>31.49</v>
      </c>
      <c r="J948" s="7" t="s">
        <v>58</v>
      </c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 t="s">
        <v>59</v>
      </c>
      <c r="V948" s="7" t="s">
        <v>60</v>
      </c>
      <c r="W948" s="7" t="s">
        <v>61</v>
      </c>
      <c r="X948" s="5" t="str">
        <f ca="1">IF(INDIRECT("W948")="Clássico","14%",IF(INDIRECT("W948")="Premium","19%","-"))</f>
        <v>14%</v>
      </c>
      <c r="Y948" s="7" t="s">
        <v>3641</v>
      </c>
    </row>
    <row r="949" spans="1:25" ht="50" customHeight="1" x14ac:dyDescent="0.25">
      <c r="A949" s="5" t="s">
        <v>3815</v>
      </c>
      <c r="B949" s="5" t="s">
        <v>3935</v>
      </c>
      <c r="C949" s="5" t="s">
        <v>3817</v>
      </c>
      <c r="D949" s="5"/>
      <c r="E949" s="6" t="s">
        <v>3818</v>
      </c>
      <c r="F949" s="6" t="s">
        <v>3819</v>
      </c>
      <c r="G949" s="5" t="s">
        <v>3819</v>
      </c>
      <c r="H949" s="7">
        <v>0</v>
      </c>
      <c r="I949" s="7">
        <v>47.49</v>
      </c>
      <c r="J949" s="7" t="s">
        <v>58</v>
      </c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 t="s">
        <v>59</v>
      </c>
      <c r="V949" s="7" t="s">
        <v>60</v>
      </c>
      <c r="W949" s="7" t="s">
        <v>61</v>
      </c>
      <c r="X949" s="5" t="str">
        <f ca="1">IF(INDIRECT("W949")="Clássico","14%",IF(INDIRECT("W949")="Premium","19%","-"))</f>
        <v>14%</v>
      </c>
      <c r="Y949" s="7" t="s">
        <v>3641</v>
      </c>
    </row>
    <row r="950" spans="1:25" ht="50" customHeight="1" x14ac:dyDescent="0.25">
      <c r="A950" s="5" t="s">
        <v>3936</v>
      </c>
      <c r="B950" s="5" t="s">
        <v>3937</v>
      </c>
      <c r="C950" s="5" t="s">
        <v>3938</v>
      </c>
      <c r="D950" s="5"/>
      <c r="E950" s="6" t="s">
        <v>3939</v>
      </c>
      <c r="F950" s="6" t="s">
        <v>3940</v>
      </c>
      <c r="G950" s="5" t="s">
        <v>3940</v>
      </c>
      <c r="H950" s="7">
        <v>12</v>
      </c>
      <c r="I950" s="7">
        <v>26.49</v>
      </c>
      <c r="J950" s="7" t="s">
        <v>58</v>
      </c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 t="s">
        <v>59</v>
      </c>
      <c r="V950" s="7" t="s">
        <v>101</v>
      </c>
      <c r="W950" s="7" t="s">
        <v>61</v>
      </c>
      <c r="X950" s="5" t="str">
        <f ca="1">IF(INDIRECT("W950")="Clássico","13%",IF(INDIRECT("W950")="Premium","17%","-"))</f>
        <v>13%</v>
      </c>
      <c r="Y950" s="7" t="s">
        <v>3641</v>
      </c>
    </row>
    <row r="951" spans="1:25" ht="50" customHeight="1" x14ac:dyDescent="0.25">
      <c r="A951" s="5" t="s">
        <v>3820</v>
      </c>
      <c r="B951" s="5" t="s">
        <v>3941</v>
      </c>
      <c r="C951" s="5" t="s">
        <v>3822</v>
      </c>
      <c r="D951" s="5"/>
      <c r="E951" s="6" t="s">
        <v>3823</v>
      </c>
      <c r="F951" s="5" t="s">
        <v>3942</v>
      </c>
      <c r="G951" s="5" t="s">
        <v>78</v>
      </c>
      <c r="H951" s="7">
        <v>4</v>
      </c>
      <c r="I951" s="7">
        <v>26.49</v>
      </c>
      <c r="J951" s="7" t="s">
        <v>58</v>
      </c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5" t="s">
        <v>59</v>
      </c>
      <c r="V951" s="7" t="s">
        <v>101</v>
      </c>
      <c r="W951" s="7" t="s">
        <v>61</v>
      </c>
      <c r="X951" s="5" t="str">
        <f ca="1">IF(INDIRECT("W951")="Clássico","13%",IF(INDIRECT("W951")="Premium","17%","-"))</f>
        <v>13%</v>
      </c>
      <c r="Y951" s="7" t="s">
        <v>3641</v>
      </c>
    </row>
    <row r="952" spans="1:25" ht="50" customHeight="1" x14ac:dyDescent="0.25">
      <c r="A952" s="5" t="s">
        <v>3880</v>
      </c>
      <c r="B952" s="5" t="s">
        <v>3943</v>
      </c>
      <c r="C952" s="5" t="s">
        <v>3944</v>
      </c>
      <c r="D952" s="5"/>
      <c r="E952" s="6" t="s">
        <v>3883</v>
      </c>
      <c r="F952" s="6" t="s">
        <v>3884</v>
      </c>
      <c r="G952" s="5" t="s">
        <v>3884</v>
      </c>
      <c r="H952" s="7">
        <v>0</v>
      </c>
      <c r="I952" s="7">
        <v>23.75</v>
      </c>
      <c r="J952" s="7" t="s">
        <v>58</v>
      </c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 t="s">
        <v>59</v>
      </c>
      <c r="V952" s="7" t="s">
        <v>60</v>
      </c>
      <c r="W952" s="7" t="s">
        <v>61</v>
      </c>
      <c r="X952" s="5" t="str">
        <f ca="1">IF(INDIRECT("W952")="Clássico","14%",IF(INDIRECT("W952")="Premium","19%","-"))</f>
        <v>14%</v>
      </c>
      <c r="Y952" s="7" t="s">
        <v>3641</v>
      </c>
    </row>
    <row r="953" spans="1:25" ht="50" customHeight="1" x14ac:dyDescent="0.25">
      <c r="A953" s="5" t="s">
        <v>3704</v>
      </c>
      <c r="B953" s="5" t="s">
        <v>3945</v>
      </c>
      <c r="C953" s="5" t="s">
        <v>3946</v>
      </c>
      <c r="D953" s="5"/>
      <c r="E953" s="6" t="s">
        <v>3707</v>
      </c>
      <c r="F953" s="6" t="s">
        <v>3947</v>
      </c>
      <c r="G953" s="5" t="s">
        <v>3947</v>
      </c>
      <c r="H953" s="7">
        <v>10</v>
      </c>
      <c r="I953" s="7">
        <v>61.25</v>
      </c>
      <c r="J953" s="7" t="s">
        <v>58</v>
      </c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 t="s">
        <v>59</v>
      </c>
      <c r="V953" s="7" t="s">
        <v>101</v>
      </c>
      <c r="W953" s="7" t="s">
        <v>84</v>
      </c>
      <c r="X953" s="5" t="str">
        <f ca="1">IF(INDIRECT("W953")="Clássico","13%",IF(INDIRECT("W953")="Premium","17%","-"))</f>
        <v>17%</v>
      </c>
      <c r="Y953" s="7" t="s">
        <v>3641</v>
      </c>
    </row>
    <row r="954" spans="1:25" ht="50" customHeight="1" x14ac:dyDescent="0.25">
      <c r="A954" s="5" t="s">
        <v>3704</v>
      </c>
      <c r="B954" s="5" t="s">
        <v>3948</v>
      </c>
      <c r="C954" s="5" t="s">
        <v>3706</v>
      </c>
      <c r="D954" s="5"/>
      <c r="E954" s="6" t="s">
        <v>3707</v>
      </c>
      <c r="F954" s="5" t="s">
        <v>3708</v>
      </c>
      <c r="G954" s="5" t="s">
        <v>78</v>
      </c>
      <c r="H954" s="7">
        <v>9</v>
      </c>
      <c r="I954" s="7">
        <v>93.49</v>
      </c>
      <c r="J954" s="7" t="s">
        <v>58</v>
      </c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5" t="s">
        <v>59</v>
      </c>
      <c r="V954" s="7" t="s">
        <v>101</v>
      </c>
      <c r="W954" s="7" t="s">
        <v>61</v>
      </c>
      <c r="X954" s="5" t="str">
        <f ca="1">IF(INDIRECT("W954")="Clássico","13%",IF(INDIRECT("W954")="Premium","17%","-"))</f>
        <v>13%</v>
      </c>
      <c r="Y954" s="7" t="s">
        <v>3641</v>
      </c>
    </row>
    <row r="955" spans="1:25" ht="50" customHeight="1" x14ac:dyDescent="0.25">
      <c r="A955" s="5" t="s">
        <v>3850</v>
      </c>
      <c r="B955" s="5" t="s">
        <v>3949</v>
      </c>
      <c r="C955" s="5" t="s">
        <v>3852</v>
      </c>
      <c r="D955" s="5"/>
      <c r="E955" s="6" t="s">
        <v>3853</v>
      </c>
      <c r="F955" s="5" t="s">
        <v>3950</v>
      </c>
      <c r="G955" s="5" t="s">
        <v>78</v>
      </c>
      <c r="H955" s="7">
        <v>4</v>
      </c>
      <c r="I955" s="7">
        <v>26.49</v>
      </c>
      <c r="J955" s="7" t="s">
        <v>58</v>
      </c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5" t="s">
        <v>59</v>
      </c>
      <c r="V955" s="7" t="s">
        <v>101</v>
      </c>
      <c r="W955" s="7" t="s">
        <v>61</v>
      </c>
      <c r="X955" s="5" t="str">
        <f ca="1">IF(INDIRECT("W955")="Clássico","13%",IF(INDIRECT("W955")="Premium","17%","-"))</f>
        <v>13%</v>
      </c>
      <c r="Y955" s="7" t="s">
        <v>3641</v>
      </c>
    </row>
    <row r="956" spans="1:25" ht="50" customHeight="1" x14ac:dyDescent="0.25">
      <c r="A956" s="5" t="s">
        <v>3704</v>
      </c>
      <c r="B956" s="5" t="s">
        <v>3951</v>
      </c>
      <c r="C956" s="5" t="s">
        <v>3946</v>
      </c>
      <c r="D956" s="5"/>
      <c r="E956" s="6" t="s">
        <v>3707</v>
      </c>
      <c r="F956" s="5" t="s">
        <v>3708</v>
      </c>
      <c r="G956" s="5" t="s">
        <v>78</v>
      </c>
      <c r="H956" s="7">
        <v>10</v>
      </c>
      <c r="I956" s="7">
        <v>61.25</v>
      </c>
      <c r="J956" s="7" t="s">
        <v>58</v>
      </c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5" t="s">
        <v>59</v>
      </c>
      <c r="V956" s="7" t="s">
        <v>101</v>
      </c>
      <c r="W956" s="7" t="s">
        <v>84</v>
      </c>
      <c r="X956" s="5" t="str">
        <f ca="1">IF(INDIRECT("W956")="Clássico","13%",IF(INDIRECT("W956")="Premium","17%","-"))</f>
        <v>17%</v>
      </c>
      <c r="Y956" s="7" t="s">
        <v>3641</v>
      </c>
    </row>
    <row r="957" spans="1:25" ht="50" customHeight="1" x14ac:dyDescent="0.25">
      <c r="A957" s="5" t="s">
        <v>3916</v>
      </c>
      <c r="B957" s="5" t="s">
        <v>3952</v>
      </c>
      <c r="C957" s="5" t="s">
        <v>3918</v>
      </c>
      <c r="D957" s="5"/>
      <c r="E957" s="6" t="s">
        <v>3919</v>
      </c>
      <c r="F957" s="5" t="s">
        <v>3953</v>
      </c>
      <c r="G957" s="5" t="s">
        <v>78</v>
      </c>
      <c r="H957" s="7">
        <v>4</v>
      </c>
      <c r="I957" s="7">
        <v>26.49</v>
      </c>
      <c r="J957" s="7" t="s">
        <v>58</v>
      </c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5" t="s">
        <v>59</v>
      </c>
      <c r="V957" s="7" t="s">
        <v>101</v>
      </c>
      <c r="W957" s="7" t="s">
        <v>61</v>
      </c>
      <c r="X957" s="5" t="str">
        <f ca="1">IF(INDIRECT("W957")="Clássico","13%",IF(INDIRECT("W957")="Premium","17%","-"))</f>
        <v>13%</v>
      </c>
      <c r="Y957" s="7" t="s">
        <v>3641</v>
      </c>
    </row>
    <row r="958" spans="1:25" ht="50" customHeight="1" x14ac:dyDescent="0.25">
      <c r="A958" s="5" t="s">
        <v>3875</v>
      </c>
      <c r="B958" s="5" t="s">
        <v>3954</v>
      </c>
      <c r="C958" s="5" t="s">
        <v>3877</v>
      </c>
      <c r="D958" s="5"/>
      <c r="E958" s="6" t="s">
        <v>3878</v>
      </c>
      <c r="F958" s="5" t="s">
        <v>3879</v>
      </c>
      <c r="G958" s="5" t="s">
        <v>78</v>
      </c>
      <c r="H958" s="7">
        <v>10</v>
      </c>
      <c r="I958" s="7">
        <v>89.49</v>
      </c>
      <c r="J958" s="7" t="s">
        <v>58</v>
      </c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5" t="s">
        <v>59</v>
      </c>
      <c r="V958" s="7" t="s">
        <v>101</v>
      </c>
      <c r="W958" s="7" t="s">
        <v>61</v>
      </c>
      <c r="X958" s="5" t="str">
        <f ca="1">IF(INDIRECT("W958")="Clássico","13%",IF(INDIRECT("W958")="Premium","17%","-"))</f>
        <v>13%</v>
      </c>
      <c r="Y958" s="7" t="s">
        <v>3641</v>
      </c>
    </row>
    <row r="959" spans="1:25" ht="50" customHeight="1" x14ac:dyDescent="0.25">
      <c r="A959" s="5" t="s">
        <v>299</v>
      </c>
      <c r="B959" s="5" t="s">
        <v>3955</v>
      </c>
      <c r="C959" s="5" t="s">
        <v>301</v>
      </c>
      <c r="D959" s="5"/>
      <c r="E959" s="5" t="s">
        <v>302</v>
      </c>
      <c r="F959" s="5" t="s">
        <v>303</v>
      </c>
      <c r="G959" s="5" t="s">
        <v>303</v>
      </c>
      <c r="H959" s="7">
        <v>12</v>
      </c>
      <c r="I959" s="5" t="s">
        <v>3956</v>
      </c>
      <c r="J959" s="5" t="s">
        <v>58</v>
      </c>
      <c r="K959" s="5" t="s">
        <v>2</v>
      </c>
      <c r="L959" s="5" t="s">
        <v>2</v>
      </c>
      <c r="M959" s="5" t="s">
        <v>2</v>
      </c>
      <c r="N959" s="5" t="s">
        <v>2</v>
      </c>
      <c r="O959" s="5" t="s">
        <v>2</v>
      </c>
      <c r="P959" s="5" t="s">
        <v>2</v>
      </c>
      <c r="Q959" s="5" t="s">
        <v>2</v>
      </c>
      <c r="R959" s="5" t="s">
        <v>2</v>
      </c>
      <c r="S959" s="5" t="s">
        <v>2</v>
      </c>
      <c r="T959" s="5" t="s">
        <v>2</v>
      </c>
      <c r="U959" s="5" t="s">
        <v>59</v>
      </c>
      <c r="V959" s="5" t="s">
        <v>60</v>
      </c>
      <c r="W959" s="5" t="s">
        <v>61</v>
      </c>
      <c r="X959" s="5" t="str">
        <f ca="1">IF(INDIRECT("W959")="Clássico","13%",IF(INDIRECT("W959")="Premium","17%","-"))</f>
        <v>13%</v>
      </c>
      <c r="Y959" s="5" t="s">
        <v>3641</v>
      </c>
    </row>
    <row r="960" spans="1:25" ht="50" customHeight="1" x14ac:dyDescent="0.25">
      <c r="A960" s="5" t="s">
        <v>1478</v>
      </c>
      <c r="B960" s="5" t="s">
        <v>3957</v>
      </c>
      <c r="C960" s="5" t="s">
        <v>1480</v>
      </c>
      <c r="D960" s="5"/>
      <c r="E960" s="5" t="s">
        <v>1481</v>
      </c>
      <c r="F960" s="5" t="s">
        <v>1482</v>
      </c>
      <c r="G960" s="5" t="s">
        <v>1482</v>
      </c>
      <c r="H960" s="7">
        <v>6</v>
      </c>
      <c r="I960" s="5" t="s">
        <v>3958</v>
      </c>
      <c r="J960" s="5" t="s">
        <v>58</v>
      </c>
      <c r="K960" s="5" t="s">
        <v>2</v>
      </c>
      <c r="L960" s="5" t="s">
        <v>2</v>
      </c>
      <c r="M960" s="5" t="s">
        <v>2</v>
      </c>
      <c r="N960" s="5" t="s">
        <v>2</v>
      </c>
      <c r="O960" s="5" t="s">
        <v>2</v>
      </c>
      <c r="P960" s="5" t="s">
        <v>2</v>
      </c>
      <c r="Q960" s="5" t="s">
        <v>2</v>
      </c>
      <c r="R960" s="5" t="s">
        <v>2</v>
      </c>
      <c r="S960" s="5" t="s">
        <v>2</v>
      </c>
      <c r="T960" s="5" t="s">
        <v>2</v>
      </c>
      <c r="U960" s="5" t="s">
        <v>59</v>
      </c>
      <c r="V960" s="5" t="s">
        <v>60</v>
      </c>
      <c r="W960" s="5" t="s">
        <v>61</v>
      </c>
      <c r="X960" s="5" t="str">
        <f ca="1">IF(INDIRECT("W960")="Clássico","13%",IF(INDIRECT("W960")="Premium","17%","-"))</f>
        <v>13%</v>
      </c>
      <c r="Y960" s="5" t="s">
        <v>3641</v>
      </c>
    </row>
    <row r="961" spans="1:25" ht="50" customHeight="1" x14ac:dyDescent="0.25">
      <c r="A961" s="5" t="s">
        <v>3959</v>
      </c>
      <c r="B961" s="5" t="s">
        <v>3960</v>
      </c>
      <c r="C961" s="5" t="s">
        <v>3961</v>
      </c>
      <c r="D961" s="5"/>
      <c r="E961" s="5" t="s">
        <v>3962</v>
      </c>
      <c r="F961" s="5" t="s">
        <v>3963</v>
      </c>
      <c r="G961" s="5" t="s">
        <v>3963</v>
      </c>
      <c r="H961" s="7">
        <v>6</v>
      </c>
      <c r="I961" s="5" t="s">
        <v>3964</v>
      </c>
      <c r="J961" s="5" t="s">
        <v>58</v>
      </c>
      <c r="K961" s="5" t="s">
        <v>2</v>
      </c>
      <c r="L961" s="5" t="s">
        <v>2</v>
      </c>
      <c r="M961" s="5" t="s">
        <v>2</v>
      </c>
      <c r="N961" s="5" t="s">
        <v>2</v>
      </c>
      <c r="O961" s="5" t="s">
        <v>2</v>
      </c>
      <c r="P961" s="5" t="s">
        <v>2</v>
      </c>
      <c r="Q961" s="5" t="s">
        <v>2</v>
      </c>
      <c r="R961" s="5" t="s">
        <v>2</v>
      </c>
      <c r="S961" s="5" t="s">
        <v>2</v>
      </c>
      <c r="T961" s="5" t="s">
        <v>2</v>
      </c>
      <c r="U961" s="5" t="s">
        <v>59</v>
      </c>
      <c r="V961" s="5" t="s">
        <v>60</v>
      </c>
      <c r="W961" s="5" t="s">
        <v>61</v>
      </c>
      <c r="X961" s="5" t="str">
        <f ca="1">IF(INDIRECT("W961")="Clássico","13%",IF(INDIRECT("W961")="Premium","17%","-"))</f>
        <v>13%</v>
      </c>
      <c r="Y961" s="5" t="s">
        <v>3641</v>
      </c>
    </row>
    <row r="962" spans="1:25" ht="50" customHeight="1" x14ac:dyDescent="0.25">
      <c r="A962" s="5" t="s">
        <v>3331</v>
      </c>
      <c r="B962" s="5" t="s">
        <v>3965</v>
      </c>
      <c r="C962" s="5" t="s">
        <v>3333</v>
      </c>
      <c r="D962" s="5"/>
      <c r="E962" s="5" t="s">
        <v>3334</v>
      </c>
      <c r="F962" s="5" t="s">
        <v>3335</v>
      </c>
      <c r="G962" s="5" t="s">
        <v>3335</v>
      </c>
      <c r="H962" s="7">
        <v>12</v>
      </c>
      <c r="I962" s="5" t="s">
        <v>3966</v>
      </c>
      <c r="J962" s="5" t="s">
        <v>58</v>
      </c>
      <c r="K962" s="5" t="s">
        <v>2</v>
      </c>
      <c r="L962" s="5" t="s">
        <v>2</v>
      </c>
      <c r="M962" s="5" t="s">
        <v>2</v>
      </c>
      <c r="N962" s="5" t="s">
        <v>2</v>
      </c>
      <c r="O962" s="5" t="s">
        <v>2</v>
      </c>
      <c r="P962" s="5" t="s">
        <v>2</v>
      </c>
      <c r="Q962" s="5" t="s">
        <v>2</v>
      </c>
      <c r="R962" s="5" t="s">
        <v>2</v>
      </c>
      <c r="S962" s="5" t="s">
        <v>2</v>
      </c>
      <c r="T962" s="5" t="s">
        <v>2</v>
      </c>
      <c r="U962" s="5" t="s">
        <v>59</v>
      </c>
      <c r="V962" s="5" t="s">
        <v>60</v>
      </c>
      <c r="W962" s="5" t="s">
        <v>61</v>
      </c>
      <c r="X962" s="5" t="str">
        <f ca="1">IF(INDIRECT("W962")="Clássico","13%",IF(INDIRECT("W962")="Premium","17%","-"))</f>
        <v>13%</v>
      </c>
      <c r="Y962" s="5" t="s">
        <v>3641</v>
      </c>
    </row>
    <row r="963" spans="1:25" ht="50" customHeight="1" x14ac:dyDescent="0.25">
      <c r="A963" s="5" t="s">
        <v>3243</v>
      </c>
      <c r="B963" s="5" t="s">
        <v>3967</v>
      </c>
      <c r="C963" s="5" t="s">
        <v>3245</v>
      </c>
      <c r="D963" s="5"/>
      <c r="E963" s="5" t="s">
        <v>3246</v>
      </c>
      <c r="F963" s="5" t="s">
        <v>3247</v>
      </c>
      <c r="G963" s="5" t="s">
        <v>3247</v>
      </c>
      <c r="H963" s="7">
        <v>8</v>
      </c>
      <c r="I963" s="5" t="s">
        <v>3968</v>
      </c>
      <c r="J963" s="5" t="s">
        <v>58</v>
      </c>
      <c r="K963" s="5" t="s">
        <v>2</v>
      </c>
      <c r="L963" s="5" t="s">
        <v>2</v>
      </c>
      <c r="M963" s="5" t="s">
        <v>2</v>
      </c>
      <c r="N963" s="5" t="s">
        <v>2</v>
      </c>
      <c r="O963" s="5" t="s">
        <v>2</v>
      </c>
      <c r="P963" s="5" t="s">
        <v>2</v>
      </c>
      <c r="Q963" s="5" t="s">
        <v>2</v>
      </c>
      <c r="R963" s="5" t="s">
        <v>2</v>
      </c>
      <c r="S963" s="5" t="s">
        <v>2</v>
      </c>
      <c r="T963" s="5" t="s">
        <v>2</v>
      </c>
      <c r="U963" s="5" t="s">
        <v>59</v>
      </c>
      <c r="V963" s="5" t="s">
        <v>60</v>
      </c>
      <c r="W963" s="5" t="s">
        <v>61</v>
      </c>
      <c r="X963" s="5" t="str">
        <f ca="1">IF(INDIRECT("W963")="Clássico","13%",IF(INDIRECT("W963")="Premium","17%","-"))</f>
        <v>13%</v>
      </c>
      <c r="Y963" s="5" t="s">
        <v>3641</v>
      </c>
    </row>
    <row r="964" spans="1:25" ht="50" customHeight="1" x14ac:dyDescent="0.25">
      <c r="A964" s="5" t="s">
        <v>1384</v>
      </c>
      <c r="B964" s="5" t="s">
        <v>3969</v>
      </c>
      <c r="C964" s="5" t="s">
        <v>1386</v>
      </c>
      <c r="D964" s="5"/>
      <c r="E964" s="5" t="s">
        <v>1387</v>
      </c>
      <c r="F964" s="5" t="s">
        <v>3337</v>
      </c>
      <c r="G964" s="5" t="s">
        <v>3337</v>
      </c>
      <c r="H964" s="7">
        <v>12</v>
      </c>
      <c r="I964" s="5" t="s">
        <v>3970</v>
      </c>
      <c r="J964" s="5" t="s">
        <v>58</v>
      </c>
      <c r="K964" s="5" t="s">
        <v>2</v>
      </c>
      <c r="L964" s="5" t="s">
        <v>2</v>
      </c>
      <c r="M964" s="5" t="s">
        <v>2</v>
      </c>
      <c r="N964" s="5" t="s">
        <v>2</v>
      </c>
      <c r="O964" s="5" t="s">
        <v>2</v>
      </c>
      <c r="P964" s="5" t="s">
        <v>2</v>
      </c>
      <c r="Q964" s="5" t="s">
        <v>2</v>
      </c>
      <c r="R964" s="5" t="s">
        <v>2</v>
      </c>
      <c r="S964" s="5" t="s">
        <v>2</v>
      </c>
      <c r="T964" s="5" t="s">
        <v>2</v>
      </c>
      <c r="U964" s="5" t="s">
        <v>59</v>
      </c>
      <c r="V964" s="5" t="s">
        <v>60</v>
      </c>
      <c r="W964" s="5" t="s">
        <v>61</v>
      </c>
      <c r="X964" s="5" t="str">
        <f ca="1">IF(INDIRECT("W964")="Clássico","12%",IF(INDIRECT("W964")="Premium","17%","-"))</f>
        <v>12%</v>
      </c>
      <c r="Y964" s="5" t="s">
        <v>3641</v>
      </c>
    </row>
    <row r="965" spans="1:25" ht="50" customHeight="1" x14ac:dyDescent="0.25">
      <c r="A965" s="5" t="s">
        <v>1681</v>
      </c>
      <c r="B965" s="5" t="s">
        <v>3971</v>
      </c>
      <c r="C965" s="5" t="s">
        <v>1683</v>
      </c>
      <c r="D965" s="5"/>
      <c r="E965" s="5" t="s">
        <v>1684</v>
      </c>
      <c r="F965" s="5" t="s">
        <v>1685</v>
      </c>
      <c r="G965" s="5" t="s">
        <v>1685</v>
      </c>
      <c r="H965" s="7">
        <v>4</v>
      </c>
      <c r="I965" s="5" t="s">
        <v>3972</v>
      </c>
      <c r="J965" s="5" t="s">
        <v>58</v>
      </c>
      <c r="K965" s="5" t="s">
        <v>2</v>
      </c>
      <c r="L965" s="5" t="s">
        <v>2</v>
      </c>
      <c r="M965" s="5" t="s">
        <v>2</v>
      </c>
      <c r="N965" s="5" t="s">
        <v>2</v>
      </c>
      <c r="O965" s="5" t="s">
        <v>2</v>
      </c>
      <c r="P965" s="5" t="s">
        <v>2</v>
      </c>
      <c r="Q965" s="5" t="s">
        <v>2</v>
      </c>
      <c r="R965" s="5" t="s">
        <v>2</v>
      </c>
      <c r="S965" s="5" t="s">
        <v>2</v>
      </c>
      <c r="T965" s="5" t="s">
        <v>2</v>
      </c>
      <c r="U965" s="5" t="s">
        <v>59</v>
      </c>
      <c r="V965" s="5" t="s">
        <v>60</v>
      </c>
      <c r="W965" s="5" t="s">
        <v>61</v>
      </c>
      <c r="X965" s="5" t="str">
        <f ca="1">IF(INDIRECT("W965")="Clássico","13%",IF(INDIRECT("W965")="Premium","17%","-"))</f>
        <v>13%</v>
      </c>
      <c r="Y965" s="5" t="s">
        <v>3641</v>
      </c>
    </row>
    <row r="966" spans="1:25" ht="50" customHeight="1" x14ac:dyDescent="0.25">
      <c r="A966" s="5" t="s">
        <v>3309</v>
      </c>
      <c r="B966" s="5" t="s">
        <v>3973</v>
      </c>
      <c r="C966" s="5" t="s">
        <v>3311</v>
      </c>
      <c r="D966" s="5"/>
      <c r="E966" s="5" t="s">
        <v>3312</v>
      </c>
      <c r="F966" s="5" t="s">
        <v>3313</v>
      </c>
      <c r="G966" s="5" t="s">
        <v>3313</v>
      </c>
      <c r="H966" s="7">
        <v>15</v>
      </c>
      <c r="I966" s="5" t="s">
        <v>3972</v>
      </c>
      <c r="J966" s="5" t="s">
        <v>58</v>
      </c>
      <c r="K966" s="5" t="s">
        <v>2</v>
      </c>
      <c r="L966" s="5" t="s">
        <v>2</v>
      </c>
      <c r="M966" s="5" t="s">
        <v>2</v>
      </c>
      <c r="N966" s="5" t="s">
        <v>2</v>
      </c>
      <c r="O966" s="5" t="s">
        <v>2</v>
      </c>
      <c r="P966" s="5" t="s">
        <v>2</v>
      </c>
      <c r="Q966" s="5" t="s">
        <v>2</v>
      </c>
      <c r="R966" s="5" t="s">
        <v>2</v>
      </c>
      <c r="S966" s="5" t="s">
        <v>2</v>
      </c>
      <c r="T966" s="5" t="s">
        <v>2</v>
      </c>
      <c r="U966" s="5" t="s">
        <v>59</v>
      </c>
      <c r="V966" s="5" t="s">
        <v>60</v>
      </c>
      <c r="W966" s="5" t="s">
        <v>61</v>
      </c>
      <c r="X966" s="5" t="str">
        <f ca="1">IF(INDIRECT("W966")="Clássico","13%",IF(INDIRECT("W966")="Premium","17%","-"))</f>
        <v>13%</v>
      </c>
      <c r="Y966" s="5" t="s">
        <v>3641</v>
      </c>
    </row>
    <row r="967" spans="1:25" ht="50" customHeight="1" x14ac:dyDescent="0.25">
      <c r="A967" s="5" t="s">
        <v>826</v>
      </c>
      <c r="B967" s="5" t="s">
        <v>3974</v>
      </c>
      <c r="C967" s="5" t="s">
        <v>828</v>
      </c>
      <c r="D967" s="5"/>
      <c r="E967" s="5" t="s">
        <v>829</v>
      </c>
      <c r="F967" s="5" t="s">
        <v>3214</v>
      </c>
      <c r="G967" s="5" t="s">
        <v>78</v>
      </c>
      <c r="H967" s="7">
        <v>2</v>
      </c>
      <c r="I967" s="5" t="s">
        <v>3975</v>
      </c>
      <c r="J967" s="5" t="s">
        <v>58</v>
      </c>
      <c r="K967" s="5" t="s">
        <v>2</v>
      </c>
      <c r="L967" s="5" t="s">
        <v>2</v>
      </c>
      <c r="M967" s="5" t="s">
        <v>2</v>
      </c>
      <c r="N967" s="5" t="s">
        <v>2</v>
      </c>
      <c r="O967" s="5" t="s">
        <v>2</v>
      </c>
      <c r="P967" s="5" t="s">
        <v>2</v>
      </c>
      <c r="Q967" s="5" t="s">
        <v>2</v>
      </c>
      <c r="R967" s="5" t="s">
        <v>2</v>
      </c>
      <c r="S967" s="5" t="s">
        <v>2</v>
      </c>
      <c r="T967" s="5" t="s">
        <v>2</v>
      </c>
      <c r="U967" s="5" t="s">
        <v>59</v>
      </c>
      <c r="V967" s="5" t="s">
        <v>60</v>
      </c>
      <c r="W967" s="5" t="s">
        <v>61</v>
      </c>
      <c r="X967" s="5" t="str">
        <f ca="1">IF(INDIRECT("W967")="Clássico","13%",IF(INDIRECT("W967")="Premium","17%","-"))</f>
        <v>13%</v>
      </c>
      <c r="Y967" s="5" t="s">
        <v>3641</v>
      </c>
    </row>
    <row r="968" spans="1:25" ht="50" customHeight="1" x14ac:dyDescent="0.25">
      <c r="A968" s="5" t="s">
        <v>3976</v>
      </c>
      <c r="B968" s="5" t="s">
        <v>3977</v>
      </c>
      <c r="C968" s="5" t="s">
        <v>3978</v>
      </c>
      <c r="D968" s="5"/>
      <c r="E968" s="5" t="s">
        <v>3979</v>
      </c>
      <c r="F968" s="5" t="s">
        <v>3980</v>
      </c>
      <c r="G968" s="5" t="s">
        <v>3980</v>
      </c>
      <c r="H968" s="7">
        <v>20</v>
      </c>
      <c r="I968" s="5" t="s">
        <v>3981</v>
      </c>
      <c r="J968" s="5" t="s">
        <v>58</v>
      </c>
      <c r="K968" s="5" t="s">
        <v>2</v>
      </c>
      <c r="L968" s="5" t="s">
        <v>2</v>
      </c>
      <c r="M968" s="5" t="s">
        <v>2</v>
      </c>
      <c r="N968" s="5" t="s">
        <v>2</v>
      </c>
      <c r="O968" s="5" t="s">
        <v>2</v>
      </c>
      <c r="P968" s="5" t="s">
        <v>2</v>
      </c>
      <c r="Q968" s="5" t="s">
        <v>2</v>
      </c>
      <c r="R968" s="5" t="s">
        <v>2</v>
      </c>
      <c r="S968" s="5" t="s">
        <v>2</v>
      </c>
      <c r="T968" s="5" t="s">
        <v>2</v>
      </c>
      <c r="U968" s="5" t="s">
        <v>59</v>
      </c>
      <c r="V968" s="5" t="s">
        <v>60</v>
      </c>
      <c r="W968" s="5" t="s">
        <v>84</v>
      </c>
      <c r="X968" s="5" t="str">
        <f ca="1">IF(INDIRECT("W968")="Clássico","13%",IF(INDIRECT("W968")="Premium","17%","-"))</f>
        <v>17%</v>
      </c>
      <c r="Y968" s="5" t="s">
        <v>3641</v>
      </c>
    </row>
    <row r="969" spans="1:25" ht="50" customHeight="1" x14ac:dyDescent="0.25">
      <c r="A969" s="5" t="s">
        <v>3982</v>
      </c>
      <c r="B969" s="5" t="s">
        <v>3983</v>
      </c>
      <c r="C969" s="5" t="s">
        <v>3984</v>
      </c>
      <c r="D969" s="5"/>
      <c r="E969" s="5" t="s">
        <v>3985</v>
      </c>
      <c r="F969" s="5" t="s">
        <v>3986</v>
      </c>
      <c r="G969" s="5" t="s">
        <v>3986</v>
      </c>
      <c r="H969" s="7">
        <v>22</v>
      </c>
      <c r="I969" s="5" t="s">
        <v>3958</v>
      </c>
      <c r="J969" s="5" t="s">
        <v>58</v>
      </c>
      <c r="K969" s="5" t="s">
        <v>2</v>
      </c>
      <c r="L969" s="5" t="s">
        <v>2</v>
      </c>
      <c r="M969" s="5" t="s">
        <v>2</v>
      </c>
      <c r="N969" s="5" t="s">
        <v>2</v>
      </c>
      <c r="O969" s="5" t="s">
        <v>2</v>
      </c>
      <c r="P969" s="5" t="s">
        <v>2</v>
      </c>
      <c r="Q969" s="5" t="s">
        <v>2</v>
      </c>
      <c r="R969" s="5" t="s">
        <v>2</v>
      </c>
      <c r="S969" s="5" t="s">
        <v>2</v>
      </c>
      <c r="T969" s="5" t="s">
        <v>2</v>
      </c>
      <c r="U969" s="5" t="s">
        <v>59</v>
      </c>
      <c r="V969" s="5" t="s">
        <v>60</v>
      </c>
      <c r="W969" s="5" t="s">
        <v>61</v>
      </c>
      <c r="X969" s="5" t="str">
        <f ca="1">IF(INDIRECT("W969")="Clássico","13%",IF(INDIRECT("W969")="Premium","17%","-"))</f>
        <v>13%</v>
      </c>
      <c r="Y969" s="5" t="s">
        <v>3641</v>
      </c>
    </row>
    <row r="970" spans="1:25" ht="50" customHeight="1" x14ac:dyDescent="0.25">
      <c r="A970" s="5" t="s">
        <v>3987</v>
      </c>
      <c r="B970" s="5" t="s">
        <v>3988</v>
      </c>
      <c r="C970" s="5" t="s">
        <v>3989</v>
      </c>
      <c r="D970" s="5"/>
      <c r="E970" s="5" t="s">
        <v>3990</v>
      </c>
      <c r="F970" s="5" t="s">
        <v>3991</v>
      </c>
      <c r="G970" s="5" t="s">
        <v>3991</v>
      </c>
      <c r="H970" s="7">
        <v>5</v>
      </c>
      <c r="I970" s="5" t="s">
        <v>3992</v>
      </c>
      <c r="J970" s="5" t="s">
        <v>58</v>
      </c>
      <c r="K970" s="5" t="s">
        <v>2</v>
      </c>
      <c r="L970" s="5" t="s">
        <v>2</v>
      </c>
      <c r="M970" s="5" t="s">
        <v>2</v>
      </c>
      <c r="N970" s="5" t="s">
        <v>2</v>
      </c>
      <c r="O970" s="5" t="s">
        <v>2</v>
      </c>
      <c r="P970" s="5" t="s">
        <v>2</v>
      </c>
      <c r="Q970" s="5" t="s">
        <v>2</v>
      </c>
      <c r="R970" s="5" t="s">
        <v>2</v>
      </c>
      <c r="S970" s="5" t="s">
        <v>2</v>
      </c>
      <c r="T970" s="5" t="s">
        <v>2</v>
      </c>
      <c r="U970" s="5" t="s">
        <v>59</v>
      </c>
      <c r="V970" s="5" t="s">
        <v>60</v>
      </c>
      <c r="W970" s="5" t="s">
        <v>61</v>
      </c>
      <c r="X970" s="5" t="str">
        <f ca="1">IF(INDIRECT("W970")="Clássico","13%",IF(INDIRECT("W970")="Premium","17%","-"))</f>
        <v>13%</v>
      </c>
      <c r="Y970" s="5" t="s">
        <v>3641</v>
      </c>
    </row>
    <row r="971" spans="1:25" ht="50" customHeight="1" x14ac:dyDescent="0.25">
      <c r="A971" s="5" t="s">
        <v>3993</v>
      </c>
      <c r="B971" s="5" t="s">
        <v>3994</v>
      </c>
      <c r="C971" s="5" t="s">
        <v>3995</v>
      </c>
      <c r="D971" s="5"/>
      <c r="E971" s="5" t="s">
        <v>3996</v>
      </c>
      <c r="F971" s="5" t="s">
        <v>3997</v>
      </c>
      <c r="G971" s="5" t="s">
        <v>3997</v>
      </c>
      <c r="H971" s="7">
        <v>10</v>
      </c>
      <c r="I971" s="5" t="s">
        <v>3998</v>
      </c>
      <c r="J971" s="5" t="s">
        <v>58</v>
      </c>
      <c r="K971" s="5" t="s">
        <v>2</v>
      </c>
      <c r="L971" s="5" t="s">
        <v>2</v>
      </c>
      <c r="M971" s="5" t="s">
        <v>2</v>
      </c>
      <c r="N971" s="5" t="s">
        <v>2</v>
      </c>
      <c r="O971" s="5" t="s">
        <v>2</v>
      </c>
      <c r="P971" s="5" t="s">
        <v>2</v>
      </c>
      <c r="Q971" s="5" t="s">
        <v>2</v>
      </c>
      <c r="R971" s="5" t="s">
        <v>2</v>
      </c>
      <c r="S971" s="5" t="s">
        <v>2</v>
      </c>
      <c r="T971" s="5" t="s">
        <v>2</v>
      </c>
      <c r="U971" s="5" t="s">
        <v>59</v>
      </c>
      <c r="V971" s="5" t="s">
        <v>60</v>
      </c>
      <c r="W971" s="5" t="s">
        <v>84</v>
      </c>
      <c r="X971" s="5" t="str">
        <f ca="1">IF(INDIRECT("W971")="Clássico","13%",IF(INDIRECT("W971")="Premium","17%","-"))</f>
        <v>17%</v>
      </c>
      <c r="Y971" s="5" t="s">
        <v>3641</v>
      </c>
    </row>
    <row r="972" spans="1:25" ht="50" customHeight="1" x14ac:dyDescent="0.25">
      <c r="A972" s="5" t="s">
        <v>888</v>
      </c>
      <c r="B972" s="5" t="s">
        <v>3999</v>
      </c>
      <c r="C972" s="5" t="s">
        <v>890</v>
      </c>
      <c r="D972" s="5"/>
      <c r="E972" s="5" t="s">
        <v>891</v>
      </c>
      <c r="F972" s="5" t="s">
        <v>892</v>
      </c>
      <c r="G972" s="5" t="s">
        <v>892</v>
      </c>
      <c r="H972" s="7">
        <v>2</v>
      </c>
      <c r="I972" s="5" t="s">
        <v>3975</v>
      </c>
      <c r="J972" s="5" t="s">
        <v>58</v>
      </c>
      <c r="K972" s="5" t="s">
        <v>2</v>
      </c>
      <c r="L972" s="5" t="s">
        <v>2</v>
      </c>
      <c r="M972" s="5" t="s">
        <v>2</v>
      </c>
      <c r="N972" s="5" t="s">
        <v>2</v>
      </c>
      <c r="O972" s="5" t="s">
        <v>2</v>
      </c>
      <c r="P972" s="5" t="s">
        <v>2</v>
      </c>
      <c r="Q972" s="5" t="s">
        <v>2</v>
      </c>
      <c r="R972" s="5" t="s">
        <v>2</v>
      </c>
      <c r="S972" s="5" t="s">
        <v>2</v>
      </c>
      <c r="T972" s="5" t="s">
        <v>2</v>
      </c>
      <c r="U972" s="5" t="s">
        <v>59</v>
      </c>
      <c r="V972" s="5" t="s">
        <v>60</v>
      </c>
      <c r="W972" s="5" t="s">
        <v>61</v>
      </c>
      <c r="X972" s="5" t="str">
        <f ca="1">IF(INDIRECT("W972")="Clássico","13%",IF(INDIRECT("W972")="Premium","17%","-"))</f>
        <v>13%</v>
      </c>
      <c r="Y972" s="5" t="s">
        <v>3641</v>
      </c>
    </row>
    <row r="973" spans="1:25" ht="50" customHeight="1" x14ac:dyDescent="0.25">
      <c r="A973" s="5" t="s">
        <v>690</v>
      </c>
      <c r="B973" s="5" t="s">
        <v>4000</v>
      </c>
      <c r="C973" s="5" t="s">
        <v>692</v>
      </c>
      <c r="D973" s="5"/>
      <c r="E973" s="5" t="s">
        <v>693</v>
      </c>
      <c r="F973" s="5" t="s">
        <v>694</v>
      </c>
      <c r="G973" s="5" t="s">
        <v>694</v>
      </c>
      <c r="H973" s="7">
        <v>24</v>
      </c>
      <c r="I973" s="5" t="s">
        <v>4001</v>
      </c>
      <c r="J973" s="5" t="s">
        <v>58</v>
      </c>
      <c r="K973" s="5" t="s">
        <v>2</v>
      </c>
      <c r="L973" s="5" t="s">
        <v>2</v>
      </c>
      <c r="M973" s="5" t="s">
        <v>2</v>
      </c>
      <c r="N973" s="5" t="s">
        <v>2</v>
      </c>
      <c r="O973" s="5" t="s">
        <v>2</v>
      </c>
      <c r="P973" s="5" t="s">
        <v>2</v>
      </c>
      <c r="Q973" s="5" t="s">
        <v>2</v>
      </c>
      <c r="R973" s="5" t="s">
        <v>2</v>
      </c>
      <c r="S973" s="5" t="s">
        <v>2</v>
      </c>
      <c r="T973" s="5" t="s">
        <v>2</v>
      </c>
      <c r="U973" s="5" t="s">
        <v>59</v>
      </c>
      <c r="V973" s="5" t="s">
        <v>60</v>
      </c>
      <c r="W973" s="5" t="s">
        <v>61</v>
      </c>
      <c r="X973" s="5" t="str">
        <f ca="1">IF(INDIRECT("W973")="Clássico","13%",IF(INDIRECT("W973")="Premium","17%","-"))</f>
        <v>13%</v>
      </c>
      <c r="Y973" s="5" t="s">
        <v>3641</v>
      </c>
    </row>
    <row r="974" spans="1:25" ht="50" customHeight="1" x14ac:dyDescent="0.25">
      <c r="A974" s="5" t="s">
        <v>863</v>
      </c>
      <c r="B974" s="5" t="s">
        <v>4002</v>
      </c>
      <c r="C974" s="5" t="s">
        <v>865</v>
      </c>
      <c r="D974" s="5"/>
      <c r="E974" s="5" t="s">
        <v>866</v>
      </c>
      <c r="F974" s="5" t="s">
        <v>867</v>
      </c>
      <c r="G974" s="5" t="s">
        <v>867</v>
      </c>
      <c r="H974" s="7">
        <v>6</v>
      </c>
      <c r="I974" s="5" t="s">
        <v>4003</v>
      </c>
      <c r="J974" s="5" t="s">
        <v>58</v>
      </c>
      <c r="K974" s="5" t="s">
        <v>2</v>
      </c>
      <c r="L974" s="5" t="s">
        <v>2</v>
      </c>
      <c r="M974" s="5" t="s">
        <v>2</v>
      </c>
      <c r="N974" s="5" t="s">
        <v>2</v>
      </c>
      <c r="O974" s="5" t="s">
        <v>2</v>
      </c>
      <c r="P974" s="5" t="s">
        <v>2</v>
      </c>
      <c r="Q974" s="5" t="s">
        <v>2</v>
      </c>
      <c r="R974" s="5" t="s">
        <v>2</v>
      </c>
      <c r="S974" s="5" t="s">
        <v>2</v>
      </c>
      <c r="T974" s="5" t="s">
        <v>2</v>
      </c>
      <c r="U974" s="5" t="s">
        <v>59</v>
      </c>
      <c r="V974" s="5" t="s">
        <v>60</v>
      </c>
      <c r="W974" s="5" t="s">
        <v>61</v>
      </c>
      <c r="X974" s="5" t="str">
        <f ca="1">IF(INDIRECT("W974")="Clássico","13%",IF(INDIRECT("W974")="Premium","17%","-"))</f>
        <v>13%</v>
      </c>
      <c r="Y974" s="5" t="s">
        <v>3641</v>
      </c>
    </row>
    <row r="975" spans="1:25" ht="50" customHeight="1" x14ac:dyDescent="0.25">
      <c r="A975" s="5" t="s">
        <v>873</v>
      </c>
      <c r="B975" s="5" t="s">
        <v>4004</v>
      </c>
      <c r="C975" s="5" t="s">
        <v>875</v>
      </c>
      <c r="D975" s="5"/>
      <c r="E975" s="5" t="s">
        <v>876</v>
      </c>
      <c r="F975" s="5" t="s">
        <v>877</v>
      </c>
      <c r="G975" s="5" t="s">
        <v>877</v>
      </c>
      <c r="H975" s="7">
        <v>2</v>
      </c>
      <c r="I975" s="5" t="s">
        <v>3975</v>
      </c>
      <c r="J975" s="5" t="s">
        <v>58</v>
      </c>
      <c r="K975" s="5" t="s">
        <v>2</v>
      </c>
      <c r="L975" s="5" t="s">
        <v>2</v>
      </c>
      <c r="M975" s="5" t="s">
        <v>2</v>
      </c>
      <c r="N975" s="5" t="s">
        <v>2</v>
      </c>
      <c r="O975" s="5" t="s">
        <v>2</v>
      </c>
      <c r="P975" s="5" t="s">
        <v>2</v>
      </c>
      <c r="Q975" s="5" t="s">
        <v>2</v>
      </c>
      <c r="R975" s="5" t="s">
        <v>2</v>
      </c>
      <c r="S975" s="5" t="s">
        <v>2</v>
      </c>
      <c r="T975" s="5" t="s">
        <v>2</v>
      </c>
      <c r="U975" s="5" t="s">
        <v>59</v>
      </c>
      <c r="V975" s="5" t="s">
        <v>60</v>
      </c>
      <c r="W975" s="5" t="s">
        <v>61</v>
      </c>
      <c r="X975" s="5" t="str">
        <f ca="1">IF(INDIRECT("W975")="Clássico","13%",IF(INDIRECT("W975")="Premium","17%","-"))</f>
        <v>13%</v>
      </c>
      <c r="Y975" s="5" t="s">
        <v>3641</v>
      </c>
    </row>
    <row r="976" spans="1:25" ht="50" customHeight="1" x14ac:dyDescent="0.25">
      <c r="A976" s="5" t="s">
        <v>4005</v>
      </c>
      <c r="B976" s="5" t="s">
        <v>4006</v>
      </c>
      <c r="C976" s="5" t="s">
        <v>4007</v>
      </c>
      <c r="D976" s="5"/>
      <c r="E976" s="5" t="s">
        <v>4008</v>
      </c>
      <c r="F976" s="5" t="s">
        <v>4009</v>
      </c>
      <c r="G976" s="5" t="s">
        <v>4009</v>
      </c>
      <c r="H976" s="7">
        <v>3</v>
      </c>
      <c r="I976" s="5" t="s">
        <v>4010</v>
      </c>
      <c r="J976" s="5" t="s">
        <v>58</v>
      </c>
      <c r="K976" s="5" t="s">
        <v>2</v>
      </c>
      <c r="L976" s="5" t="s">
        <v>2</v>
      </c>
      <c r="M976" s="5" t="s">
        <v>2</v>
      </c>
      <c r="N976" s="5" t="s">
        <v>2</v>
      </c>
      <c r="O976" s="5" t="s">
        <v>2</v>
      </c>
      <c r="P976" s="5" t="s">
        <v>2</v>
      </c>
      <c r="Q976" s="5" t="s">
        <v>2</v>
      </c>
      <c r="R976" s="5" t="s">
        <v>2</v>
      </c>
      <c r="S976" s="5" t="s">
        <v>2</v>
      </c>
      <c r="T976" s="5" t="s">
        <v>2</v>
      </c>
      <c r="U976" s="5" t="s">
        <v>59</v>
      </c>
      <c r="V976" s="5" t="s">
        <v>60</v>
      </c>
      <c r="W976" s="5" t="s">
        <v>84</v>
      </c>
      <c r="X976" s="5" t="str">
        <f ca="1">IF(INDIRECT("W976")="Clássico","13%",IF(INDIRECT("W976")="Premium","17%","-"))</f>
        <v>17%</v>
      </c>
      <c r="Y976" s="5" t="s">
        <v>3641</v>
      </c>
    </row>
    <row r="977" spans="1:25" ht="50" customHeight="1" x14ac:dyDescent="0.25">
      <c r="A977" s="5" t="s">
        <v>4011</v>
      </c>
      <c r="B977" s="5" t="s">
        <v>4012</v>
      </c>
      <c r="C977" s="5" t="s">
        <v>4013</v>
      </c>
      <c r="D977" s="5"/>
      <c r="E977" s="5" t="s">
        <v>4014</v>
      </c>
      <c r="F977" s="5" t="s">
        <v>4015</v>
      </c>
      <c r="G977" s="5" t="s">
        <v>4015</v>
      </c>
      <c r="H977" s="7">
        <v>144</v>
      </c>
      <c r="I977" s="5" t="s">
        <v>3958</v>
      </c>
      <c r="J977" s="5" t="s">
        <v>58</v>
      </c>
      <c r="K977" s="5" t="s">
        <v>2</v>
      </c>
      <c r="L977" s="5" t="s">
        <v>2</v>
      </c>
      <c r="M977" s="5" t="s">
        <v>2</v>
      </c>
      <c r="N977" s="5" t="s">
        <v>2</v>
      </c>
      <c r="O977" s="5" t="s">
        <v>2</v>
      </c>
      <c r="P977" s="5" t="s">
        <v>2</v>
      </c>
      <c r="Q977" s="5" t="s">
        <v>2</v>
      </c>
      <c r="R977" s="5" t="s">
        <v>2</v>
      </c>
      <c r="S977" s="5" t="s">
        <v>2</v>
      </c>
      <c r="T977" s="5" t="s">
        <v>2</v>
      </c>
      <c r="U977" s="5" t="s">
        <v>59</v>
      </c>
      <c r="V977" s="5" t="s">
        <v>60</v>
      </c>
      <c r="W977" s="5" t="s">
        <v>61</v>
      </c>
      <c r="X977" s="5" t="str">
        <f ca="1">IF(INDIRECT("W977")="Clássico","13%",IF(INDIRECT("W977")="Premium","17%","-"))</f>
        <v>13%</v>
      </c>
      <c r="Y977" s="5" t="s">
        <v>3641</v>
      </c>
    </row>
    <row r="978" spans="1:25" ht="50" customHeight="1" x14ac:dyDescent="0.25">
      <c r="A978" s="5" t="s">
        <v>1966</v>
      </c>
      <c r="B978" s="5" t="s">
        <v>4016</v>
      </c>
      <c r="C978" s="5" t="s">
        <v>1968</v>
      </c>
      <c r="D978" s="5"/>
      <c r="E978" s="5" t="s">
        <v>1969</v>
      </c>
      <c r="F978" s="5" t="s">
        <v>1970</v>
      </c>
      <c r="G978" s="5" t="s">
        <v>1970</v>
      </c>
      <c r="H978" s="7">
        <v>10</v>
      </c>
      <c r="I978" s="5" t="s">
        <v>4017</v>
      </c>
      <c r="J978" s="5" t="s">
        <v>58</v>
      </c>
      <c r="K978" s="5" t="s">
        <v>2</v>
      </c>
      <c r="L978" s="5" t="s">
        <v>2</v>
      </c>
      <c r="M978" s="5" t="s">
        <v>2</v>
      </c>
      <c r="N978" s="5" t="s">
        <v>2</v>
      </c>
      <c r="O978" s="5" t="s">
        <v>2</v>
      </c>
      <c r="P978" s="5" t="s">
        <v>2</v>
      </c>
      <c r="Q978" s="5" t="s">
        <v>2</v>
      </c>
      <c r="R978" s="5" t="s">
        <v>2</v>
      </c>
      <c r="S978" s="5" t="s">
        <v>2</v>
      </c>
      <c r="T978" s="5" t="s">
        <v>2</v>
      </c>
      <c r="U978" s="5" t="s">
        <v>59</v>
      </c>
      <c r="V978" s="5" t="s">
        <v>60</v>
      </c>
      <c r="W978" s="5" t="s">
        <v>61</v>
      </c>
      <c r="X978" s="5" t="str">
        <f ca="1">IF(INDIRECT("W978")="Clássico","13%",IF(INDIRECT("W978")="Premium","17%","-"))</f>
        <v>13%</v>
      </c>
      <c r="Y978" s="5" t="s">
        <v>3641</v>
      </c>
    </row>
    <row r="979" spans="1:25" ht="50" customHeight="1" x14ac:dyDescent="0.25">
      <c r="A979" s="5" t="s">
        <v>4018</v>
      </c>
      <c r="B979" s="5" t="s">
        <v>4019</v>
      </c>
      <c r="C979" s="5" t="s">
        <v>4020</v>
      </c>
      <c r="D979" s="5"/>
      <c r="E979" s="5" t="s">
        <v>4021</v>
      </c>
      <c r="F979" s="5" t="s">
        <v>4022</v>
      </c>
      <c r="G979" s="5" t="s">
        <v>4022</v>
      </c>
      <c r="H979" s="7">
        <v>8</v>
      </c>
      <c r="I979" s="5" t="s">
        <v>4023</v>
      </c>
      <c r="J979" s="5" t="s">
        <v>58</v>
      </c>
      <c r="K979" s="5" t="s">
        <v>2</v>
      </c>
      <c r="L979" s="5" t="s">
        <v>2</v>
      </c>
      <c r="M979" s="5" t="s">
        <v>2</v>
      </c>
      <c r="N979" s="5" t="s">
        <v>2</v>
      </c>
      <c r="O979" s="5" t="s">
        <v>2</v>
      </c>
      <c r="P979" s="5" t="s">
        <v>2</v>
      </c>
      <c r="Q979" s="5" t="s">
        <v>2</v>
      </c>
      <c r="R979" s="5" t="s">
        <v>2</v>
      </c>
      <c r="S979" s="5" t="s">
        <v>2</v>
      </c>
      <c r="T979" s="5" t="s">
        <v>2</v>
      </c>
      <c r="U979" s="5" t="s">
        <v>59</v>
      </c>
      <c r="V979" s="5" t="s">
        <v>101</v>
      </c>
      <c r="W979" s="5" t="s">
        <v>61</v>
      </c>
      <c r="X979" s="5" t="str">
        <f ca="1">IF(INDIRECT("W979")="Clássico","12%",IF(INDIRECT("W979")="Premium","17%","-"))</f>
        <v>12%</v>
      </c>
      <c r="Y979" s="5" t="s">
        <v>3641</v>
      </c>
    </row>
    <row r="980" spans="1:25" ht="50" customHeight="1" x14ac:dyDescent="0.25">
      <c r="A980" s="5" t="s">
        <v>1152</v>
      </c>
      <c r="B980" s="5" t="s">
        <v>4024</v>
      </c>
      <c r="C980" s="5" t="s">
        <v>4025</v>
      </c>
      <c r="D980" s="5"/>
      <c r="E980" s="5" t="s">
        <v>1155</v>
      </c>
      <c r="F980" s="5" t="s">
        <v>1156</v>
      </c>
      <c r="G980" s="5" t="s">
        <v>1156</v>
      </c>
      <c r="H980" s="7">
        <v>3</v>
      </c>
      <c r="I980" s="5" t="s">
        <v>4026</v>
      </c>
      <c r="J980" s="5" t="s">
        <v>58</v>
      </c>
      <c r="K980" s="5" t="s">
        <v>2</v>
      </c>
      <c r="L980" s="5" t="s">
        <v>2</v>
      </c>
      <c r="M980" s="5" t="s">
        <v>2</v>
      </c>
      <c r="N980" s="5" t="s">
        <v>2</v>
      </c>
      <c r="O980" s="5" t="s">
        <v>2</v>
      </c>
      <c r="P980" s="5" t="s">
        <v>2</v>
      </c>
      <c r="Q980" s="5" t="s">
        <v>2</v>
      </c>
      <c r="R980" s="5" t="s">
        <v>2</v>
      </c>
      <c r="S980" s="5" t="s">
        <v>2</v>
      </c>
      <c r="T980" s="5" t="s">
        <v>2</v>
      </c>
      <c r="U980" s="5" t="s">
        <v>59</v>
      </c>
      <c r="V980" s="5" t="s">
        <v>60</v>
      </c>
      <c r="W980" s="5" t="s">
        <v>84</v>
      </c>
      <c r="X980" s="5" t="str">
        <f ca="1">IF(INDIRECT("W980")="Clássico","13%",IF(INDIRECT("W980")="Premium","17%","-"))</f>
        <v>17%</v>
      </c>
      <c r="Y980" s="5" t="s">
        <v>3641</v>
      </c>
    </row>
    <row r="981" spans="1:25" ht="50" customHeight="1" x14ac:dyDescent="0.25">
      <c r="A981" s="5" t="s">
        <v>2583</v>
      </c>
      <c r="B981" s="5" t="s">
        <v>4027</v>
      </c>
      <c r="C981" s="5" t="s">
        <v>2585</v>
      </c>
      <c r="D981" s="5"/>
      <c r="E981" s="5" t="s">
        <v>2586</v>
      </c>
      <c r="F981" s="5" t="s">
        <v>2587</v>
      </c>
      <c r="G981" s="5" t="s">
        <v>2587</v>
      </c>
      <c r="H981" s="7">
        <v>20</v>
      </c>
      <c r="I981" s="5" t="s">
        <v>4028</v>
      </c>
      <c r="J981" s="5" t="s">
        <v>58</v>
      </c>
      <c r="K981" s="5" t="s">
        <v>2</v>
      </c>
      <c r="L981" s="5" t="s">
        <v>2</v>
      </c>
      <c r="M981" s="5" t="s">
        <v>2</v>
      </c>
      <c r="N981" s="5" t="s">
        <v>2</v>
      </c>
      <c r="O981" s="5" t="s">
        <v>2</v>
      </c>
      <c r="P981" s="5" t="s">
        <v>2</v>
      </c>
      <c r="Q981" s="5" t="s">
        <v>2</v>
      </c>
      <c r="R981" s="5" t="s">
        <v>2</v>
      </c>
      <c r="S981" s="5" t="s">
        <v>2</v>
      </c>
      <c r="T981" s="5" t="s">
        <v>2</v>
      </c>
      <c r="U981" s="5" t="s">
        <v>59</v>
      </c>
      <c r="V981" s="5" t="s">
        <v>60</v>
      </c>
      <c r="W981" s="5" t="s">
        <v>61</v>
      </c>
      <c r="X981" s="5" t="str">
        <f ca="1">IF(INDIRECT("W981")="Clássico","13%",IF(INDIRECT("W981")="Premium","17%","-"))</f>
        <v>13%</v>
      </c>
      <c r="Y981" s="5" t="s">
        <v>3641</v>
      </c>
    </row>
    <row r="982" spans="1:25" ht="50" customHeight="1" x14ac:dyDescent="0.25">
      <c r="A982" s="5" t="s">
        <v>4029</v>
      </c>
      <c r="B982" s="5" t="s">
        <v>4030</v>
      </c>
      <c r="C982" s="5" t="s">
        <v>4031</v>
      </c>
      <c r="D982" s="5"/>
      <c r="E982" s="5" t="s">
        <v>4032</v>
      </c>
      <c r="F982" s="5" t="s">
        <v>4033</v>
      </c>
      <c r="G982" s="5" t="s">
        <v>4033</v>
      </c>
      <c r="H982" s="7">
        <v>4</v>
      </c>
      <c r="I982" s="5" t="s">
        <v>4034</v>
      </c>
      <c r="J982" s="5" t="s">
        <v>58</v>
      </c>
      <c r="K982" s="5" t="s">
        <v>2</v>
      </c>
      <c r="L982" s="5" t="s">
        <v>2</v>
      </c>
      <c r="M982" s="5" t="s">
        <v>2</v>
      </c>
      <c r="N982" s="5" t="s">
        <v>2</v>
      </c>
      <c r="O982" s="5" t="s">
        <v>2</v>
      </c>
      <c r="P982" s="5" t="s">
        <v>2</v>
      </c>
      <c r="Q982" s="5" t="s">
        <v>2</v>
      </c>
      <c r="R982" s="5" t="s">
        <v>2</v>
      </c>
      <c r="S982" s="5" t="s">
        <v>2</v>
      </c>
      <c r="T982" s="5" t="s">
        <v>2</v>
      </c>
      <c r="U982" s="5" t="s">
        <v>59</v>
      </c>
      <c r="V982" s="5" t="s">
        <v>60</v>
      </c>
      <c r="W982" s="5" t="s">
        <v>61</v>
      </c>
      <c r="X982" s="5" t="str">
        <f ca="1">IF(INDIRECT("W982")="Clássico","11.5%",IF(INDIRECT("W982")="Premium","16.5%","-"))</f>
        <v>11.5%</v>
      </c>
      <c r="Y982" s="5" t="s">
        <v>3641</v>
      </c>
    </row>
    <row r="983" spans="1:25" ht="50" customHeight="1" x14ac:dyDescent="0.25">
      <c r="A983" s="5" t="s">
        <v>319</v>
      </c>
      <c r="B983" s="5" t="s">
        <v>4035</v>
      </c>
      <c r="C983" s="5" t="s">
        <v>321</v>
      </c>
      <c r="D983" s="5"/>
      <c r="E983" s="5" t="s">
        <v>322</v>
      </c>
      <c r="F983" s="5" t="s">
        <v>323</v>
      </c>
      <c r="G983" s="5" t="s">
        <v>323</v>
      </c>
      <c r="H983" s="7">
        <v>73</v>
      </c>
      <c r="I983" s="5" t="s">
        <v>4036</v>
      </c>
      <c r="J983" s="5" t="s">
        <v>58</v>
      </c>
      <c r="K983" s="5" t="s">
        <v>2</v>
      </c>
      <c r="L983" s="5" t="s">
        <v>2</v>
      </c>
      <c r="M983" s="5" t="s">
        <v>2</v>
      </c>
      <c r="N983" s="5" t="s">
        <v>2</v>
      </c>
      <c r="O983" s="5" t="s">
        <v>2</v>
      </c>
      <c r="P983" s="5" t="s">
        <v>2</v>
      </c>
      <c r="Q983" s="5" t="s">
        <v>2</v>
      </c>
      <c r="R983" s="5" t="s">
        <v>2</v>
      </c>
      <c r="S983" s="5" t="s">
        <v>2</v>
      </c>
      <c r="T983" s="5" t="s">
        <v>2</v>
      </c>
      <c r="U983" s="5" t="s">
        <v>59</v>
      </c>
      <c r="V983" s="5" t="s">
        <v>129</v>
      </c>
      <c r="W983" s="5" t="s">
        <v>61</v>
      </c>
      <c r="X983" s="5" t="str">
        <f ca="1">IF(INDIRECT("W983")="Clássico","14%",IF(INDIRECT("W983")="Premium","19%","-"))</f>
        <v>14%</v>
      </c>
      <c r="Y983" s="5" t="s">
        <v>3641</v>
      </c>
    </row>
    <row r="984" spans="1:25" ht="50" customHeight="1" x14ac:dyDescent="0.25">
      <c r="A984" s="5" t="s">
        <v>1815</v>
      </c>
      <c r="B984" s="5" t="s">
        <v>4037</v>
      </c>
      <c r="C984" s="5" t="s">
        <v>1817</v>
      </c>
      <c r="D984" s="5"/>
      <c r="E984" s="5" t="s">
        <v>1818</v>
      </c>
      <c r="F984" s="5" t="s">
        <v>1819</v>
      </c>
      <c r="G984" s="5" t="s">
        <v>1819</v>
      </c>
      <c r="H984" s="7">
        <v>12</v>
      </c>
      <c r="I984" s="5" t="s">
        <v>4038</v>
      </c>
      <c r="J984" s="5" t="s">
        <v>58</v>
      </c>
      <c r="K984" s="5" t="s">
        <v>2</v>
      </c>
      <c r="L984" s="5" t="s">
        <v>2</v>
      </c>
      <c r="M984" s="5" t="s">
        <v>2</v>
      </c>
      <c r="N984" s="5" t="s">
        <v>2</v>
      </c>
      <c r="O984" s="5" t="s">
        <v>2</v>
      </c>
      <c r="P984" s="5" t="s">
        <v>2</v>
      </c>
      <c r="Q984" s="5" t="s">
        <v>2</v>
      </c>
      <c r="R984" s="5" t="s">
        <v>2</v>
      </c>
      <c r="S984" s="5" t="s">
        <v>2</v>
      </c>
      <c r="T984" s="5" t="s">
        <v>2</v>
      </c>
      <c r="U984" s="5" t="s">
        <v>59</v>
      </c>
      <c r="V984" s="5" t="s">
        <v>60</v>
      </c>
      <c r="W984" s="5" t="s">
        <v>61</v>
      </c>
      <c r="X984" s="5" t="str">
        <f ca="1">IF(INDIRECT("W984")="Clássico","13%",IF(INDIRECT("W984")="Premium","17%","-"))</f>
        <v>13%</v>
      </c>
      <c r="Y984" s="5" t="s">
        <v>3641</v>
      </c>
    </row>
    <row r="985" spans="1:25" ht="50" customHeight="1" x14ac:dyDescent="0.25">
      <c r="A985" s="5" t="s">
        <v>314</v>
      </c>
      <c r="B985" s="5" t="s">
        <v>4039</v>
      </c>
      <c r="C985" s="5" t="s">
        <v>316</v>
      </c>
      <c r="D985" s="5"/>
      <c r="E985" s="5" t="s">
        <v>317</v>
      </c>
      <c r="F985" s="5" t="s">
        <v>318</v>
      </c>
      <c r="G985" s="5" t="s">
        <v>318</v>
      </c>
      <c r="H985" s="7">
        <v>8</v>
      </c>
      <c r="I985" s="5" t="s">
        <v>4040</v>
      </c>
      <c r="J985" s="5" t="s">
        <v>58</v>
      </c>
      <c r="K985" s="5" t="s">
        <v>2</v>
      </c>
      <c r="L985" s="5" t="s">
        <v>2</v>
      </c>
      <c r="M985" s="5" t="s">
        <v>2</v>
      </c>
      <c r="N985" s="5" t="s">
        <v>2</v>
      </c>
      <c r="O985" s="5" t="s">
        <v>2</v>
      </c>
      <c r="P985" s="5" t="s">
        <v>2</v>
      </c>
      <c r="Q985" s="5" t="s">
        <v>2</v>
      </c>
      <c r="R985" s="5" t="s">
        <v>2</v>
      </c>
      <c r="S985" s="5" t="s">
        <v>2</v>
      </c>
      <c r="T985" s="5" t="s">
        <v>2</v>
      </c>
      <c r="U985" s="5" t="s">
        <v>59</v>
      </c>
      <c r="V985" s="5" t="s">
        <v>60</v>
      </c>
      <c r="W985" s="5" t="s">
        <v>61</v>
      </c>
      <c r="X985" s="5" t="str">
        <f ca="1">IF(INDIRECT("W985")="Clássico","13%",IF(INDIRECT("W985")="Premium","17%","-"))</f>
        <v>13%</v>
      </c>
      <c r="Y985" s="5" t="s">
        <v>3641</v>
      </c>
    </row>
    <row r="986" spans="1:25" ht="50" customHeight="1" x14ac:dyDescent="0.25">
      <c r="A986" s="5" t="s">
        <v>334</v>
      </c>
      <c r="B986" s="5" t="s">
        <v>4041</v>
      </c>
      <c r="C986" s="5" t="s">
        <v>336</v>
      </c>
      <c r="D986" s="5"/>
      <c r="E986" s="5" t="s">
        <v>337</v>
      </c>
      <c r="F986" s="5" t="s">
        <v>338</v>
      </c>
      <c r="G986" s="5" t="s">
        <v>338</v>
      </c>
      <c r="H986" s="7">
        <v>47</v>
      </c>
      <c r="I986" s="5" t="s">
        <v>4042</v>
      </c>
      <c r="J986" s="5" t="s">
        <v>58</v>
      </c>
      <c r="K986" s="5" t="s">
        <v>2</v>
      </c>
      <c r="L986" s="5" t="s">
        <v>2</v>
      </c>
      <c r="M986" s="5" t="s">
        <v>2</v>
      </c>
      <c r="N986" s="5" t="s">
        <v>2</v>
      </c>
      <c r="O986" s="5" t="s">
        <v>2</v>
      </c>
      <c r="P986" s="5" t="s">
        <v>2</v>
      </c>
      <c r="Q986" s="5" t="s">
        <v>2</v>
      </c>
      <c r="R986" s="5" t="s">
        <v>2</v>
      </c>
      <c r="S986" s="5" t="s">
        <v>2</v>
      </c>
      <c r="T986" s="5" t="s">
        <v>2</v>
      </c>
      <c r="U986" s="5" t="s">
        <v>59</v>
      </c>
      <c r="V986" s="5" t="s">
        <v>129</v>
      </c>
      <c r="W986" s="5" t="s">
        <v>84</v>
      </c>
      <c r="X986" s="5" t="str">
        <f ca="1">IF(INDIRECT("W986")="Clássico","14%",IF(INDIRECT("W986")="Premium","19%","-"))</f>
        <v>19%</v>
      </c>
      <c r="Y986" s="5" t="s">
        <v>3641</v>
      </c>
    </row>
    <row r="987" spans="1:25" ht="50" customHeight="1" x14ac:dyDescent="0.25">
      <c r="A987" s="5" t="s">
        <v>3238</v>
      </c>
      <c r="B987" s="5" t="s">
        <v>4043</v>
      </c>
      <c r="C987" s="5" t="s">
        <v>3240</v>
      </c>
      <c r="D987" s="5"/>
      <c r="E987" s="5" t="s">
        <v>3241</v>
      </c>
      <c r="F987" s="5" t="s">
        <v>3242</v>
      </c>
      <c r="G987" s="5" t="s">
        <v>3242</v>
      </c>
      <c r="H987" s="7">
        <v>8</v>
      </c>
      <c r="I987" s="5" t="s">
        <v>3968</v>
      </c>
      <c r="J987" s="5" t="s">
        <v>58</v>
      </c>
      <c r="K987" s="5" t="s">
        <v>2</v>
      </c>
      <c r="L987" s="5" t="s">
        <v>2</v>
      </c>
      <c r="M987" s="5" t="s">
        <v>2</v>
      </c>
      <c r="N987" s="5" t="s">
        <v>2</v>
      </c>
      <c r="O987" s="5" t="s">
        <v>2</v>
      </c>
      <c r="P987" s="5" t="s">
        <v>2</v>
      </c>
      <c r="Q987" s="5" t="s">
        <v>2</v>
      </c>
      <c r="R987" s="5" t="s">
        <v>2</v>
      </c>
      <c r="S987" s="5" t="s">
        <v>2</v>
      </c>
      <c r="T987" s="5" t="s">
        <v>2</v>
      </c>
      <c r="U987" s="5" t="s">
        <v>59</v>
      </c>
      <c r="V987" s="5" t="s">
        <v>60</v>
      </c>
      <c r="W987" s="5" t="s">
        <v>61</v>
      </c>
      <c r="X987" s="5" t="str">
        <f ca="1">IF(INDIRECT("W987")="Clássico","13%",IF(INDIRECT("W987")="Premium","17%","-"))</f>
        <v>13%</v>
      </c>
      <c r="Y987" s="5" t="s">
        <v>3641</v>
      </c>
    </row>
    <row r="988" spans="1:25" ht="50" customHeight="1" x14ac:dyDescent="0.25">
      <c r="A988" s="5" t="s">
        <v>1667</v>
      </c>
      <c r="B988" s="5" t="s">
        <v>4044</v>
      </c>
      <c r="C988" s="5" t="s">
        <v>1669</v>
      </c>
      <c r="D988" s="5"/>
      <c r="E988" s="5" t="s">
        <v>1670</v>
      </c>
      <c r="F988" s="5" t="s">
        <v>1671</v>
      </c>
      <c r="G988" s="5" t="s">
        <v>1671</v>
      </c>
      <c r="H988" s="7">
        <v>8</v>
      </c>
      <c r="I988" s="5" t="s">
        <v>3968</v>
      </c>
      <c r="J988" s="5" t="s">
        <v>58</v>
      </c>
      <c r="K988" s="5" t="s">
        <v>2</v>
      </c>
      <c r="L988" s="5" t="s">
        <v>2</v>
      </c>
      <c r="M988" s="5" t="s">
        <v>2</v>
      </c>
      <c r="N988" s="5" t="s">
        <v>2</v>
      </c>
      <c r="O988" s="5" t="s">
        <v>2</v>
      </c>
      <c r="P988" s="5" t="s">
        <v>2</v>
      </c>
      <c r="Q988" s="5" t="s">
        <v>2</v>
      </c>
      <c r="R988" s="5" t="s">
        <v>2</v>
      </c>
      <c r="S988" s="5" t="s">
        <v>2</v>
      </c>
      <c r="T988" s="5" t="s">
        <v>2</v>
      </c>
      <c r="U988" s="5" t="s">
        <v>59</v>
      </c>
      <c r="V988" s="5" t="s">
        <v>60</v>
      </c>
      <c r="W988" s="5" t="s">
        <v>61</v>
      </c>
      <c r="X988" s="5" t="str">
        <f ca="1">IF(INDIRECT("W988")="Clássico","13%",IF(INDIRECT("W988")="Premium","17%","-"))</f>
        <v>13%</v>
      </c>
      <c r="Y988" s="5" t="s">
        <v>3641</v>
      </c>
    </row>
    <row r="989" spans="1:25" ht="50" customHeight="1" x14ac:dyDescent="0.25">
      <c r="A989" s="5" t="s">
        <v>3353</v>
      </c>
      <c r="B989" s="5" t="s">
        <v>4045</v>
      </c>
      <c r="C989" s="5" t="s">
        <v>3355</v>
      </c>
      <c r="D989" s="5"/>
      <c r="E989" s="5" t="s">
        <v>3356</v>
      </c>
      <c r="F989" s="5" t="s">
        <v>3357</v>
      </c>
      <c r="G989" s="5" t="s">
        <v>3357</v>
      </c>
      <c r="H989" s="7">
        <v>5</v>
      </c>
      <c r="I989" s="5" t="s">
        <v>4046</v>
      </c>
      <c r="J989" s="5" t="s">
        <v>58</v>
      </c>
      <c r="K989" s="5" t="s">
        <v>2</v>
      </c>
      <c r="L989" s="5" t="s">
        <v>2</v>
      </c>
      <c r="M989" s="5" t="s">
        <v>2</v>
      </c>
      <c r="N989" s="5" t="s">
        <v>2</v>
      </c>
      <c r="O989" s="5" t="s">
        <v>2</v>
      </c>
      <c r="P989" s="5" t="s">
        <v>2</v>
      </c>
      <c r="Q989" s="5" t="s">
        <v>2</v>
      </c>
      <c r="R989" s="5" t="s">
        <v>2</v>
      </c>
      <c r="S989" s="5" t="s">
        <v>2</v>
      </c>
      <c r="T989" s="5" t="s">
        <v>2</v>
      </c>
      <c r="U989" s="5" t="s">
        <v>59</v>
      </c>
      <c r="V989" s="5" t="s">
        <v>60</v>
      </c>
      <c r="W989" s="5" t="s">
        <v>61</v>
      </c>
      <c r="X989" s="5" t="str">
        <f ca="1">IF(INDIRECT("W989")="Clássico","13%",IF(INDIRECT("W989")="Premium","17%","-"))</f>
        <v>13%</v>
      </c>
      <c r="Y989" s="5" t="s">
        <v>3641</v>
      </c>
    </row>
    <row r="990" spans="1:25" ht="50" customHeight="1" x14ac:dyDescent="0.25">
      <c r="A990" s="5" t="s">
        <v>3220</v>
      </c>
      <c r="B990" s="5" t="s">
        <v>4047</v>
      </c>
      <c r="C990" s="5" t="s">
        <v>3222</v>
      </c>
      <c r="D990" s="5"/>
      <c r="E990" s="5" t="s">
        <v>3223</v>
      </c>
      <c r="F990" s="5" t="s">
        <v>3224</v>
      </c>
      <c r="G990" s="5" t="s">
        <v>3224</v>
      </c>
      <c r="H990" s="7">
        <v>6</v>
      </c>
      <c r="I990" s="5" t="s">
        <v>3970</v>
      </c>
      <c r="J990" s="5" t="s">
        <v>58</v>
      </c>
      <c r="K990" s="5" t="s">
        <v>2</v>
      </c>
      <c r="L990" s="5" t="s">
        <v>2</v>
      </c>
      <c r="M990" s="5" t="s">
        <v>2</v>
      </c>
      <c r="N990" s="5" t="s">
        <v>2</v>
      </c>
      <c r="O990" s="5" t="s">
        <v>2</v>
      </c>
      <c r="P990" s="5" t="s">
        <v>2</v>
      </c>
      <c r="Q990" s="5" t="s">
        <v>2</v>
      </c>
      <c r="R990" s="5" t="s">
        <v>2</v>
      </c>
      <c r="S990" s="5" t="s">
        <v>2</v>
      </c>
      <c r="T990" s="5" t="s">
        <v>2</v>
      </c>
      <c r="U990" s="5" t="s">
        <v>59</v>
      </c>
      <c r="V990" s="5" t="s">
        <v>60</v>
      </c>
      <c r="W990" s="5" t="s">
        <v>61</v>
      </c>
      <c r="X990" s="5" t="str">
        <f ca="1">IF(INDIRECT("W990")="Clássico","12%",IF(INDIRECT("W990")="Premium","17%","-"))</f>
        <v>12%</v>
      </c>
      <c r="Y990" s="5" t="s">
        <v>3641</v>
      </c>
    </row>
    <row r="991" spans="1:25" ht="50" customHeight="1" x14ac:dyDescent="0.25">
      <c r="A991" s="5" t="s">
        <v>3314</v>
      </c>
      <c r="B991" s="5" t="s">
        <v>4048</v>
      </c>
      <c r="C991" s="5" t="s">
        <v>3316</v>
      </c>
      <c r="D991" s="5"/>
      <c r="E991" s="5" t="s">
        <v>3317</v>
      </c>
      <c r="F991" s="5" t="s">
        <v>3318</v>
      </c>
      <c r="G991" s="5" t="s">
        <v>3318</v>
      </c>
      <c r="H991" s="7">
        <v>3</v>
      </c>
      <c r="I991" s="5" t="s">
        <v>3972</v>
      </c>
      <c r="J991" s="5" t="s">
        <v>58</v>
      </c>
      <c r="K991" s="5" t="s">
        <v>2</v>
      </c>
      <c r="L991" s="5" t="s">
        <v>2</v>
      </c>
      <c r="M991" s="5" t="s">
        <v>2</v>
      </c>
      <c r="N991" s="5" t="s">
        <v>2</v>
      </c>
      <c r="O991" s="5" t="s">
        <v>2</v>
      </c>
      <c r="P991" s="5" t="s">
        <v>2</v>
      </c>
      <c r="Q991" s="5" t="s">
        <v>2</v>
      </c>
      <c r="R991" s="5" t="s">
        <v>2</v>
      </c>
      <c r="S991" s="5" t="s">
        <v>2</v>
      </c>
      <c r="T991" s="5" t="s">
        <v>2</v>
      </c>
      <c r="U991" s="5" t="s">
        <v>59</v>
      </c>
      <c r="V991" s="5" t="s">
        <v>60</v>
      </c>
      <c r="W991" s="5" t="s">
        <v>61</v>
      </c>
      <c r="X991" s="5" t="str">
        <f ca="1">IF(INDIRECT("W991")="Clássico","13%",IF(INDIRECT("W991")="Premium","17%","-"))</f>
        <v>13%</v>
      </c>
      <c r="Y991" s="5" t="s">
        <v>3641</v>
      </c>
    </row>
    <row r="992" spans="1:25" ht="50" customHeight="1" x14ac:dyDescent="0.25">
      <c r="A992" s="5" t="s">
        <v>3415</v>
      </c>
      <c r="B992" s="5" t="s">
        <v>4049</v>
      </c>
      <c r="C992" s="5" t="s">
        <v>3417</v>
      </c>
      <c r="D992" s="5"/>
      <c r="E992" s="5" t="s">
        <v>3418</v>
      </c>
      <c r="F992" s="5" t="s">
        <v>3419</v>
      </c>
      <c r="G992" s="5" t="s">
        <v>3419</v>
      </c>
      <c r="H992" s="7">
        <v>6</v>
      </c>
      <c r="I992" s="5" t="s">
        <v>4050</v>
      </c>
      <c r="J992" s="5" t="s">
        <v>58</v>
      </c>
      <c r="K992" s="5" t="s">
        <v>2</v>
      </c>
      <c r="L992" s="5" t="s">
        <v>2</v>
      </c>
      <c r="M992" s="5" t="s">
        <v>2</v>
      </c>
      <c r="N992" s="5" t="s">
        <v>2</v>
      </c>
      <c r="O992" s="5" t="s">
        <v>2</v>
      </c>
      <c r="P992" s="5" t="s">
        <v>2</v>
      </c>
      <c r="Q992" s="5" t="s">
        <v>2</v>
      </c>
      <c r="R992" s="5" t="s">
        <v>2</v>
      </c>
      <c r="S992" s="5" t="s">
        <v>2</v>
      </c>
      <c r="T992" s="5" t="s">
        <v>2</v>
      </c>
      <c r="U992" s="5" t="s">
        <v>59</v>
      </c>
      <c r="V992" s="5" t="s">
        <v>60</v>
      </c>
      <c r="W992" s="5" t="s">
        <v>61</v>
      </c>
      <c r="X992" s="5" t="str">
        <f ca="1">IF(INDIRECT("W992")="Clássico","14%",IF(INDIRECT("W992")="Premium","19%","-"))</f>
        <v>14%</v>
      </c>
      <c r="Y992" s="5" t="s">
        <v>3641</v>
      </c>
    </row>
    <row r="993" spans="1:25" ht="50" customHeight="1" x14ac:dyDescent="0.25">
      <c r="A993" s="5" t="s">
        <v>3423</v>
      </c>
      <c r="B993" s="5" t="s">
        <v>4051</v>
      </c>
      <c r="C993" s="5" t="s">
        <v>3425</v>
      </c>
      <c r="D993" s="5"/>
      <c r="E993" s="5" t="s">
        <v>3426</v>
      </c>
      <c r="F993" s="5" t="s">
        <v>3427</v>
      </c>
      <c r="G993" s="5" t="s">
        <v>3427</v>
      </c>
      <c r="H993" s="7">
        <v>23</v>
      </c>
      <c r="I993" s="5" t="s">
        <v>4010</v>
      </c>
      <c r="J993" s="5" t="s">
        <v>58</v>
      </c>
      <c r="K993" s="5" t="s">
        <v>2</v>
      </c>
      <c r="L993" s="5" t="s">
        <v>2</v>
      </c>
      <c r="M993" s="5" t="s">
        <v>2</v>
      </c>
      <c r="N993" s="5" t="s">
        <v>2</v>
      </c>
      <c r="O993" s="5" t="s">
        <v>2</v>
      </c>
      <c r="P993" s="5" t="s">
        <v>2</v>
      </c>
      <c r="Q993" s="5" t="s">
        <v>2</v>
      </c>
      <c r="R993" s="5" t="s">
        <v>2</v>
      </c>
      <c r="S993" s="5" t="s">
        <v>2</v>
      </c>
      <c r="T993" s="5" t="s">
        <v>2</v>
      </c>
      <c r="U993" s="5" t="s">
        <v>59</v>
      </c>
      <c r="V993" s="5" t="s">
        <v>60</v>
      </c>
      <c r="W993" s="5" t="s">
        <v>61</v>
      </c>
      <c r="X993" s="5" t="str">
        <f ca="1">IF(INDIRECT("W993")="Clássico","13%",IF(INDIRECT("W993")="Premium","17%","-"))</f>
        <v>13%</v>
      </c>
      <c r="Y993" s="5" t="s">
        <v>3641</v>
      </c>
    </row>
    <row r="994" spans="1:25" ht="50" customHeight="1" x14ac:dyDescent="0.25">
      <c r="A994" s="5" t="s">
        <v>3267</v>
      </c>
      <c r="B994" s="5" t="s">
        <v>4052</v>
      </c>
      <c r="C994" s="5" t="s">
        <v>3269</v>
      </c>
      <c r="D994" s="5"/>
      <c r="E994" s="5" t="s">
        <v>3270</v>
      </c>
      <c r="F994" s="5" t="s">
        <v>3271</v>
      </c>
      <c r="G994" s="5" t="s">
        <v>3271</v>
      </c>
      <c r="H994" s="7">
        <v>12</v>
      </c>
      <c r="I994" s="5" t="s">
        <v>4010</v>
      </c>
      <c r="J994" s="5" t="s">
        <v>58</v>
      </c>
      <c r="K994" s="5" t="s">
        <v>2</v>
      </c>
      <c r="L994" s="5" t="s">
        <v>2</v>
      </c>
      <c r="M994" s="5" t="s">
        <v>2</v>
      </c>
      <c r="N994" s="5" t="s">
        <v>2</v>
      </c>
      <c r="O994" s="5" t="s">
        <v>2</v>
      </c>
      <c r="P994" s="5" t="s">
        <v>2</v>
      </c>
      <c r="Q994" s="5" t="s">
        <v>2</v>
      </c>
      <c r="R994" s="5" t="s">
        <v>2</v>
      </c>
      <c r="S994" s="5" t="s">
        <v>2</v>
      </c>
      <c r="T994" s="5" t="s">
        <v>2</v>
      </c>
      <c r="U994" s="5" t="s">
        <v>59</v>
      </c>
      <c r="V994" s="5" t="s">
        <v>60</v>
      </c>
      <c r="W994" s="5" t="s">
        <v>61</v>
      </c>
      <c r="X994" s="5" t="str">
        <f ca="1">IF(INDIRECT("W994")="Clássico","13%",IF(INDIRECT("W994")="Premium","17%","-"))</f>
        <v>13%</v>
      </c>
      <c r="Y994" s="5" t="s">
        <v>3641</v>
      </c>
    </row>
    <row r="995" spans="1:25" ht="50" customHeight="1" x14ac:dyDescent="0.25">
      <c r="A995" s="5" t="s">
        <v>1322</v>
      </c>
      <c r="B995" s="5" t="s">
        <v>4053</v>
      </c>
      <c r="C995" s="5" t="s">
        <v>1324</v>
      </c>
      <c r="D995" s="5"/>
      <c r="E995" s="5" t="s">
        <v>127</v>
      </c>
      <c r="F995" s="5" t="s">
        <v>4054</v>
      </c>
      <c r="G995" s="5" t="s">
        <v>78</v>
      </c>
      <c r="H995" s="7">
        <v>10</v>
      </c>
      <c r="I995" s="5" t="s">
        <v>4055</v>
      </c>
      <c r="J995" s="5" t="s">
        <v>58</v>
      </c>
      <c r="K995" s="5" t="s">
        <v>2</v>
      </c>
      <c r="L995" s="5" t="s">
        <v>2</v>
      </c>
      <c r="M995" s="5" t="s">
        <v>2</v>
      </c>
      <c r="N995" s="5" t="s">
        <v>2</v>
      </c>
      <c r="O995" s="5" t="s">
        <v>2</v>
      </c>
      <c r="P995" s="5" t="s">
        <v>2</v>
      </c>
      <c r="Q995" s="5" t="s">
        <v>2</v>
      </c>
      <c r="R995" s="5" t="s">
        <v>2</v>
      </c>
      <c r="S995" s="5" t="s">
        <v>2</v>
      </c>
      <c r="T995" s="5" t="s">
        <v>2</v>
      </c>
      <c r="U995" s="5" t="s">
        <v>59</v>
      </c>
      <c r="V995" s="5" t="s">
        <v>129</v>
      </c>
      <c r="W995" s="5" t="s">
        <v>61</v>
      </c>
      <c r="X995" s="5" t="str">
        <f ca="1">IF(INDIRECT("W995")="Clássico","14%",IF(INDIRECT("W995")="Premium","19%","-"))</f>
        <v>14%</v>
      </c>
      <c r="Y995" s="5" t="s">
        <v>3641</v>
      </c>
    </row>
    <row r="996" spans="1:25" ht="50" customHeight="1" x14ac:dyDescent="0.25">
      <c r="A996" s="5" t="s">
        <v>873</v>
      </c>
      <c r="B996" s="5" t="s">
        <v>4056</v>
      </c>
      <c r="C996" s="5" t="s">
        <v>875</v>
      </c>
      <c r="D996" s="5"/>
      <c r="E996" s="5" t="s">
        <v>876</v>
      </c>
      <c r="F996" s="5" t="s">
        <v>3214</v>
      </c>
      <c r="G996" s="5" t="s">
        <v>78</v>
      </c>
      <c r="H996" s="7">
        <v>2</v>
      </c>
      <c r="I996" s="5" t="s">
        <v>3975</v>
      </c>
      <c r="J996" s="5" t="s">
        <v>58</v>
      </c>
      <c r="K996" s="5" t="s">
        <v>2</v>
      </c>
      <c r="L996" s="5" t="s">
        <v>2</v>
      </c>
      <c r="M996" s="5" t="s">
        <v>2</v>
      </c>
      <c r="N996" s="5" t="s">
        <v>2</v>
      </c>
      <c r="O996" s="5" t="s">
        <v>2</v>
      </c>
      <c r="P996" s="5" t="s">
        <v>2</v>
      </c>
      <c r="Q996" s="5" t="s">
        <v>2</v>
      </c>
      <c r="R996" s="5" t="s">
        <v>2</v>
      </c>
      <c r="S996" s="5" t="s">
        <v>2</v>
      </c>
      <c r="T996" s="5" t="s">
        <v>2</v>
      </c>
      <c r="U996" s="5" t="s">
        <v>59</v>
      </c>
      <c r="V996" s="5" t="s">
        <v>60</v>
      </c>
      <c r="W996" s="5" t="s">
        <v>61</v>
      </c>
      <c r="X996" s="5" t="str">
        <f ca="1">IF(INDIRECT("W996")="Clássico","13%",IF(INDIRECT("W996")="Premium","17%","-"))</f>
        <v>13%</v>
      </c>
      <c r="Y996" s="5" t="s">
        <v>3641</v>
      </c>
    </row>
    <row r="997" spans="1:25" ht="50" customHeight="1" x14ac:dyDescent="0.25">
      <c r="A997" s="5" t="s">
        <v>1941</v>
      </c>
      <c r="B997" s="5" t="s">
        <v>4057</v>
      </c>
      <c r="C997" s="5" t="s">
        <v>1943</v>
      </c>
      <c r="D997" s="5"/>
      <c r="E997" s="5" t="s">
        <v>1944</v>
      </c>
      <c r="F997" s="5" t="s">
        <v>1329</v>
      </c>
      <c r="G997" s="5" t="s">
        <v>78</v>
      </c>
      <c r="H997" s="7">
        <v>4</v>
      </c>
      <c r="I997" s="5" t="s">
        <v>4058</v>
      </c>
      <c r="J997" s="5" t="s">
        <v>58</v>
      </c>
      <c r="K997" s="5" t="s">
        <v>2</v>
      </c>
      <c r="L997" s="5" t="s">
        <v>2</v>
      </c>
      <c r="M997" s="5" t="s">
        <v>2</v>
      </c>
      <c r="N997" s="5" t="s">
        <v>2</v>
      </c>
      <c r="O997" s="5" t="s">
        <v>2</v>
      </c>
      <c r="P997" s="5" t="s">
        <v>2</v>
      </c>
      <c r="Q997" s="5" t="s">
        <v>2</v>
      </c>
      <c r="R997" s="5" t="s">
        <v>2</v>
      </c>
      <c r="S997" s="5" t="s">
        <v>2</v>
      </c>
      <c r="T997" s="5" t="s">
        <v>2</v>
      </c>
      <c r="U997" s="5" t="s">
        <v>59</v>
      </c>
      <c r="V997" s="5" t="s">
        <v>60</v>
      </c>
      <c r="W997" s="5" t="s">
        <v>61</v>
      </c>
      <c r="X997" s="5" t="str">
        <f ca="1">IF(INDIRECT("W997")="Clássico","13%",IF(INDIRECT("W997")="Premium","17%","-"))</f>
        <v>13%</v>
      </c>
      <c r="Y997" s="5" t="s">
        <v>3641</v>
      </c>
    </row>
    <row r="998" spans="1:25" ht="50" customHeight="1" x14ac:dyDescent="0.25">
      <c r="A998" s="5" t="s">
        <v>4059</v>
      </c>
      <c r="B998" s="5" t="s">
        <v>4060</v>
      </c>
      <c r="C998" s="5" t="s">
        <v>4061</v>
      </c>
      <c r="D998" s="5"/>
      <c r="E998" s="5" t="s">
        <v>4062</v>
      </c>
      <c r="F998" s="5" t="s">
        <v>4063</v>
      </c>
      <c r="G998" s="5" t="s">
        <v>4063</v>
      </c>
      <c r="H998" s="7">
        <v>20</v>
      </c>
      <c r="I998" s="5" t="s">
        <v>3981</v>
      </c>
      <c r="J998" s="5" t="s">
        <v>58</v>
      </c>
      <c r="K998" s="5" t="s">
        <v>2</v>
      </c>
      <c r="L998" s="5" t="s">
        <v>2</v>
      </c>
      <c r="M998" s="5" t="s">
        <v>2</v>
      </c>
      <c r="N998" s="5" t="s">
        <v>2</v>
      </c>
      <c r="O998" s="5" t="s">
        <v>2</v>
      </c>
      <c r="P998" s="5" t="s">
        <v>2</v>
      </c>
      <c r="Q998" s="5" t="s">
        <v>2</v>
      </c>
      <c r="R998" s="5" t="s">
        <v>2</v>
      </c>
      <c r="S998" s="5" t="s">
        <v>2</v>
      </c>
      <c r="T998" s="5" t="s">
        <v>2</v>
      </c>
      <c r="U998" s="5" t="s">
        <v>59</v>
      </c>
      <c r="V998" s="5" t="s">
        <v>60</v>
      </c>
      <c r="W998" s="5" t="s">
        <v>61</v>
      </c>
      <c r="X998" s="5" t="str">
        <f ca="1">IF(INDIRECT("W998")="Clássico","13%",IF(INDIRECT("W998")="Premium","17%","-"))</f>
        <v>13%</v>
      </c>
      <c r="Y998" s="5" t="s">
        <v>3641</v>
      </c>
    </row>
    <row r="999" spans="1:25" ht="50" customHeight="1" x14ac:dyDescent="0.25">
      <c r="A999" s="5" t="s">
        <v>4064</v>
      </c>
      <c r="B999" s="5" t="s">
        <v>4065</v>
      </c>
      <c r="C999" s="5" t="s">
        <v>4066</v>
      </c>
      <c r="D999" s="5"/>
      <c r="E999" s="5" t="s">
        <v>4067</v>
      </c>
      <c r="F999" s="5" t="s">
        <v>4068</v>
      </c>
      <c r="G999" s="5" t="s">
        <v>4068</v>
      </c>
      <c r="H999" s="7">
        <v>10</v>
      </c>
      <c r="I999" s="5" t="s">
        <v>4069</v>
      </c>
      <c r="J999" s="5" t="s">
        <v>58</v>
      </c>
      <c r="K999" s="5" t="s">
        <v>2</v>
      </c>
      <c r="L999" s="5" t="s">
        <v>2</v>
      </c>
      <c r="M999" s="5" t="s">
        <v>2</v>
      </c>
      <c r="N999" s="5" t="s">
        <v>2</v>
      </c>
      <c r="O999" s="5" t="s">
        <v>2</v>
      </c>
      <c r="P999" s="5" t="s">
        <v>2</v>
      </c>
      <c r="Q999" s="5" t="s">
        <v>2</v>
      </c>
      <c r="R999" s="5" t="s">
        <v>2</v>
      </c>
      <c r="S999" s="5" t="s">
        <v>2</v>
      </c>
      <c r="T999" s="5" t="s">
        <v>2</v>
      </c>
      <c r="U999" s="5" t="s">
        <v>59</v>
      </c>
      <c r="V999" s="5" t="s">
        <v>60</v>
      </c>
      <c r="W999" s="5" t="s">
        <v>84</v>
      </c>
      <c r="X999" s="5" t="str">
        <f ca="1">IF(INDIRECT("W999")="Clássico","12%",IF(INDIRECT("W999")="Premium","17%","-"))</f>
        <v>17%</v>
      </c>
      <c r="Y999" s="5" t="s">
        <v>3641</v>
      </c>
    </row>
    <row r="1000" spans="1:25" ht="50" customHeight="1" x14ac:dyDescent="0.25">
      <c r="A1000" s="5" t="s">
        <v>4070</v>
      </c>
      <c r="B1000" s="5" t="s">
        <v>4071</v>
      </c>
      <c r="C1000" s="5" t="s">
        <v>4072</v>
      </c>
      <c r="D1000" s="5"/>
      <c r="E1000" s="5" t="s">
        <v>4073</v>
      </c>
      <c r="F1000" s="5" t="s">
        <v>4074</v>
      </c>
      <c r="G1000" s="5" t="s">
        <v>4074</v>
      </c>
      <c r="H1000" s="7">
        <v>12</v>
      </c>
      <c r="I1000" s="5" t="s">
        <v>4075</v>
      </c>
      <c r="J1000" s="5" t="s">
        <v>58</v>
      </c>
      <c r="K1000" s="5" t="s">
        <v>2</v>
      </c>
      <c r="L1000" s="5" t="s">
        <v>2</v>
      </c>
      <c r="M1000" s="5" t="s">
        <v>2</v>
      </c>
      <c r="N1000" s="5" t="s">
        <v>2</v>
      </c>
      <c r="O1000" s="5" t="s">
        <v>2</v>
      </c>
      <c r="P1000" s="5" t="s">
        <v>2</v>
      </c>
      <c r="Q1000" s="5" t="s">
        <v>2</v>
      </c>
      <c r="R1000" s="5" t="s">
        <v>2</v>
      </c>
      <c r="S1000" s="5" t="s">
        <v>2</v>
      </c>
      <c r="T1000" s="5" t="s">
        <v>2</v>
      </c>
      <c r="U1000" s="5" t="s">
        <v>59</v>
      </c>
      <c r="V1000" s="5" t="s">
        <v>60</v>
      </c>
      <c r="W1000" s="5" t="s">
        <v>61</v>
      </c>
      <c r="X1000" s="5" t="str">
        <f ca="1">IF(INDIRECT("W1000")="Clássico","13%",IF(INDIRECT("W1000")="Premium","17%","-"))</f>
        <v>13%</v>
      </c>
      <c r="Y1000" s="5" t="s">
        <v>3641</v>
      </c>
    </row>
    <row r="1001" spans="1:25" ht="50" customHeight="1" x14ac:dyDescent="0.25">
      <c r="A1001" s="5" t="s">
        <v>4076</v>
      </c>
      <c r="B1001" s="5" t="s">
        <v>4077</v>
      </c>
      <c r="C1001" s="5" t="s">
        <v>4078</v>
      </c>
      <c r="D1001" s="5"/>
      <c r="E1001" s="5" t="s">
        <v>4079</v>
      </c>
      <c r="F1001" s="5" t="s">
        <v>4080</v>
      </c>
      <c r="G1001" s="5" t="s">
        <v>4080</v>
      </c>
      <c r="H1001" s="7">
        <v>10</v>
      </c>
      <c r="I1001" s="5" t="s">
        <v>3981</v>
      </c>
      <c r="J1001" s="5" t="s">
        <v>58</v>
      </c>
      <c r="K1001" s="5" t="s">
        <v>2</v>
      </c>
      <c r="L1001" s="5" t="s">
        <v>2</v>
      </c>
      <c r="M1001" s="5" t="s">
        <v>2</v>
      </c>
      <c r="N1001" s="5" t="s">
        <v>2</v>
      </c>
      <c r="O1001" s="5" t="s">
        <v>2</v>
      </c>
      <c r="P1001" s="5" t="s">
        <v>2</v>
      </c>
      <c r="Q1001" s="5" t="s">
        <v>2</v>
      </c>
      <c r="R1001" s="5" t="s">
        <v>2</v>
      </c>
      <c r="S1001" s="5" t="s">
        <v>2</v>
      </c>
      <c r="T1001" s="5" t="s">
        <v>2</v>
      </c>
      <c r="U1001" s="5" t="s">
        <v>59</v>
      </c>
      <c r="V1001" s="5" t="s">
        <v>60</v>
      </c>
      <c r="W1001" s="5" t="s">
        <v>84</v>
      </c>
      <c r="X1001" s="5" t="str">
        <f ca="1">IF(INDIRECT("W1001")="Clássico","13%",IF(INDIRECT("W1001")="Premium","17%","-"))</f>
        <v>17%</v>
      </c>
      <c r="Y1001" s="5" t="s">
        <v>3641</v>
      </c>
    </row>
    <row r="1002" spans="1:25" ht="50" customHeight="1" x14ac:dyDescent="0.25">
      <c r="A1002" s="5" t="s">
        <v>4081</v>
      </c>
      <c r="B1002" s="5" t="s">
        <v>4082</v>
      </c>
      <c r="C1002" s="5" t="s">
        <v>4083</v>
      </c>
      <c r="D1002" s="5"/>
      <c r="E1002" s="5" t="s">
        <v>2178</v>
      </c>
      <c r="F1002" s="5" t="s">
        <v>4084</v>
      </c>
      <c r="G1002" s="5" t="s">
        <v>4084</v>
      </c>
      <c r="H1002" s="7">
        <v>10</v>
      </c>
      <c r="I1002" s="5" t="s">
        <v>4085</v>
      </c>
      <c r="J1002" s="5" t="s">
        <v>58</v>
      </c>
      <c r="K1002" s="5" t="s">
        <v>2</v>
      </c>
      <c r="L1002" s="5" t="s">
        <v>2</v>
      </c>
      <c r="M1002" s="5" t="s">
        <v>2</v>
      </c>
      <c r="N1002" s="5" t="s">
        <v>2</v>
      </c>
      <c r="O1002" s="5" t="s">
        <v>2</v>
      </c>
      <c r="P1002" s="5" t="s">
        <v>2</v>
      </c>
      <c r="Q1002" s="5" t="s">
        <v>2</v>
      </c>
      <c r="R1002" s="5" t="s">
        <v>2</v>
      </c>
      <c r="S1002" s="5" t="s">
        <v>2</v>
      </c>
      <c r="T1002" s="5" t="s">
        <v>2</v>
      </c>
      <c r="U1002" s="5" t="s">
        <v>59</v>
      </c>
      <c r="V1002" s="5" t="s">
        <v>60</v>
      </c>
      <c r="W1002" s="5" t="s">
        <v>84</v>
      </c>
      <c r="X1002" s="5" t="str">
        <f ca="1">IF(INDIRECT("W1002")="Clássico","12%",IF(INDIRECT("W1002")="Premium","17%","-"))</f>
        <v>17%</v>
      </c>
      <c r="Y1002" s="5" t="s">
        <v>3641</v>
      </c>
    </row>
    <row r="1003" spans="1:25" ht="50" customHeight="1" x14ac:dyDescent="0.25">
      <c r="A1003" s="5" t="s">
        <v>253</v>
      </c>
      <c r="B1003" s="5" t="s">
        <v>4086</v>
      </c>
      <c r="C1003" s="5" t="s">
        <v>255</v>
      </c>
      <c r="D1003" s="5"/>
      <c r="E1003" s="5" t="s">
        <v>256</v>
      </c>
      <c r="F1003" s="5" t="s">
        <v>257</v>
      </c>
      <c r="G1003" s="5" t="s">
        <v>257</v>
      </c>
      <c r="H1003" s="7">
        <v>4</v>
      </c>
      <c r="I1003" s="5" t="s">
        <v>4087</v>
      </c>
      <c r="J1003" s="5" t="s">
        <v>58</v>
      </c>
      <c r="K1003" s="5" t="s">
        <v>2</v>
      </c>
      <c r="L1003" s="5" t="s">
        <v>2</v>
      </c>
      <c r="M1003" s="5" t="s">
        <v>2</v>
      </c>
      <c r="N1003" s="5" t="s">
        <v>2</v>
      </c>
      <c r="O1003" s="5" t="s">
        <v>2</v>
      </c>
      <c r="P1003" s="5" t="s">
        <v>2</v>
      </c>
      <c r="Q1003" s="5" t="s">
        <v>2</v>
      </c>
      <c r="R1003" s="5" t="s">
        <v>2</v>
      </c>
      <c r="S1003" s="5" t="s">
        <v>2</v>
      </c>
      <c r="T1003" s="5" t="s">
        <v>2</v>
      </c>
      <c r="U1003" s="5" t="s">
        <v>59</v>
      </c>
      <c r="V1003" s="5" t="s">
        <v>60</v>
      </c>
      <c r="W1003" s="5" t="s">
        <v>61</v>
      </c>
      <c r="X1003" s="5" t="str">
        <f ca="1">IF(INDIRECT("W1003")="Clássico","13%",IF(INDIRECT("W1003")="Premium","17%","-"))</f>
        <v>13%</v>
      </c>
      <c r="Y1003" s="5" t="s">
        <v>3641</v>
      </c>
    </row>
    <row r="1004" spans="1:25" ht="50" customHeight="1" x14ac:dyDescent="0.25">
      <c r="A1004" s="5" t="s">
        <v>112</v>
      </c>
      <c r="B1004" s="5" t="s">
        <v>4088</v>
      </c>
      <c r="C1004" s="5" t="s">
        <v>114</v>
      </c>
      <c r="D1004" s="5"/>
      <c r="E1004" s="5" t="s">
        <v>115</v>
      </c>
      <c r="F1004" s="5" t="s">
        <v>116</v>
      </c>
      <c r="G1004" s="5" t="s">
        <v>116</v>
      </c>
      <c r="H1004" s="7">
        <v>117</v>
      </c>
      <c r="I1004" s="5" t="s">
        <v>4089</v>
      </c>
      <c r="J1004" s="5" t="s">
        <v>58</v>
      </c>
      <c r="K1004" s="5" t="s">
        <v>2</v>
      </c>
      <c r="L1004" s="5" t="s">
        <v>2</v>
      </c>
      <c r="M1004" s="5" t="s">
        <v>2</v>
      </c>
      <c r="N1004" s="5" t="s">
        <v>2</v>
      </c>
      <c r="O1004" s="5" t="s">
        <v>2</v>
      </c>
      <c r="P1004" s="5" t="s">
        <v>2</v>
      </c>
      <c r="Q1004" s="5" t="s">
        <v>2</v>
      </c>
      <c r="R1004" s="5" t="s">
        <v>2</v>
      </c>
      <c r="S1004" s="5" t="s">
        <v>2</v>
      </c>
      <c r="T1004" s="5" t="s">
        <v>2</v>
      </c>
      <c r="U1004" s="5" t="s">
        <v>59</v>
      </c>
      <c r="V1004" s="5" t="s">
        <v>60</v>
      </c>
      <c r="W1004" s="5" t="s">
        <v>61</v>
      </c>
      <c r="X1004" s="5" t="str">
        <f ca="1">IF(INDIRECT("W1004")="Clássico","11.5%",IF(INDIRECT("W1004")="Premium","16.5%","-"))</f>
        <v>11.5%</v>
      </c>
      <c r="Y1004" s="5" t="s">
        <v>3641</v>
      </c>
    </row>
    <row r="1005" spans="1:25" ht="50" customHeight="1" x14ac:dyDescent="0.25">
      <c r="A1005" s="5" t="s">
        <v>1257</v>
      </c>
      <c r="B1005" s="5" t="s">
        <v>4090</v>
      </c>
      <c r="C1005" s="5" t="s">
        <v>4091</v>
      </c>
      <c r="D1005" s="5"/>
      <c r="E1005" s="5" t="s">
        <v>1260</v>
      </c>
      <c r="F1005" s="5" t="s">
        <v>4092</v>
      </c>
      <c r="G1005" s="5" t="s">
        <v>4092</v>
      </c>
      <c r="H1005" s="7">
        <v>10</v>
      </c>
      <c r="I1005" s="5" t="s">
        <v>4093</v>
      </c>
      <c r="J1005" s="5" t="s">
        <v>58</v>
      </c>
      <c r="K1005" s="5" t="s">
        <v>2</v>
      </c>
      <c r="L1005" s="5" t="s">
        <v>2</v>
      </c>
      <c r="M1005" s="5" t="s">
        <v>2</v>
      </c>
      <c r="N1005" s="5" t="s">
        <v>2</v>
      </c>
      <c r="O1005" s="5" t="s">
        <v>2</v>
      </c>
      <c r="P1005" s="5" t="s">
        <v>2</v>
      </c>
      <c r="Q1005" s="5" t="s">
        <v>2</v>
      </c>
      <c r="R1005" s="5" t="s">
        <v>2</v>
      </c>
      <c r="S1005" s="5" t="s">
        <v>2</v>
      </c>
      <c r="T1005" s="5" t="s">
        <v>2</v>
      </c>
      <c r="U1005" s="5" t="s">
        <v>59</v>
      </c>
      <c r="V1005" s="5" t="s">
        <v>101</v>
      </c>
      <c r="W1005" s="5" t="s">
        <v>61</v>
      </c>
      <c r="X1005" s="5" t="str">
        <f ca="1">IF(INDIRECT("W1005")="Clássico","13%",IF(INDIRECT("W1005")="Premium","17%","-"))</f>
        <v>13%</v>
      </c>
      <c r="Y1005" s="5" t="s">
        <v>3641</v>
      </c>
    </row>
    <row r="1006" spans="1:25" ht="50" customHeight="1" x14ac:dyDescent="0.25">
      <c r="A1006" s="5" t="s">
        <v>4094</v>
      </c>
      <c r="B1006" s="5" t="s">
        <v>4095</v>
      </c>
      <c r="C1006" s="5" t="s">
        <v>4096</v>
      </c>
      <c r="D1006" s="5"/>
      <c r="E1006" s="5" t="s">
        <v>4097</v>
      </c>
      <c r="F1006" s="5" t="s">
        <v>4098</v>
      </c>
      <c r="G1006" s="5" t="s">
        <v>4098</v>
      </c>
      <c r="H1006" s="7">
        <v>20</v>
      </c>
      <c r="I1006" s="5" t="s">
        <v>3981</v>
      </c>
      <c r="J1006" s="5" t="s">
        <v>58</v>
      </c>
      <c r="K1006" s="5" t="s">
        <v>2</v>
      </c>
      <c r="L1006" s="5" t="s">
        <v>2</v>
      </c>
      <c r="M1006" s="5" t="s">
        <v>2</v>
      </c>
      <c r="N1006" s="5" t="s">
        <v>2</v>
      </c>
      <c r="O1006" s="5" t="s">
        <v>2</v>
      </c>
      <c r="P1006" s="5" t="s">
        <v>2</v>
      </c>
      <c r="Q1006" s="5" t="s">
        <v>2</v>
      </c>
      <c r="R1006" s="5" t="s">
        <v>2</v>
      </c>
      <c r="S1006" s="5" t="s">
        <v>2</v>
      </c>
      <c r="T1006" s="5" t="s">
        <v>2</v>
      </c>
      <c r="U1006" s="5" t="s">
        <v>59</v>
      </c>
      <c r="V1006" s="5" t="s">
        <v>60</v>
      </c>
      <c r="W1006" s="5" t="s">
        <v>61</v>
      </c>
      <c r="X1006" s="5" t="str">
        <f ca="1">IF(INDIRECT("W1006")="Clássico","13%",IF(INDIRECT("W1006")="Premium","17%","-"))</f>
        <v>13%</v>
      </c>
      <c r="Y1006" s="5" t="s">
        <v>3641</v>
      </c>
    </row>
    <row r="1007" spans="1:25" ht="50" customHeight="1" x14ac:dyDescent="0.25">
      <c r="A1007" s="5" t="s">
        <v>454</v>
      </c>
      <c r="B1007" s="5" t="s">
        <v>4099</v>
      </c>
      <c r="C1007" s="5" t="s">
        <v>4100</v>
      </c>
      <c r="D1007" s="5"/>
      <c r="E1007" s="5" t="s">
        <v>457</v>
      </c>
      <c r="F1007" s="5" t="s">
        <v>4101</v>
      </c>
      <c r="G1007" s="5" t="s">
        <v>4101</v>
      </c>
      <c r="H1007" s="7">
        <v>20</v>
      </c>
      <c r="I1007" s="5" t="s">
        <v>4085</v>
      </c>
      <c r="J1007" s="5" t="s">
        <v>58</v>
      </c>
      <c r="K1007" s="5" t="s">
        <v>2</v>
      </c>
      <c r="L1007" s="5" t="s">
        <v>2</v>
      </c>
      <c r="M1007" s="5" t="s">
        <v>2</v>
      </c>
      <c r="N1007" s="5" t="s">
        <v>2</v>
      </c>
      <c r="O1007" s="5" t="s">
        <v>2</v>
      </c>
      <c r="P1007" s="5" t="s">
        <v>2</v>
      </c>
      <c r="Q1007" s="5" t="s">
        <v>2</v>
      </c>
      <c r="R1007" s="5" t="s">
        <v>2</v>
      </c>
      <c r="S1007" s="5" t="s">
        <v>2</v>
      </c>
      <c r="T1007" s="5" t="s">
        <v>2</v>
      </c>
      <c r="U1007" s="5" t="s">
        <v>59</v>
      </c>
      <c r="V1007" s="5" t="s">
        <v>60</v>
      </c>
      <c r="W1007" s="5" t="s">
        <v>84</v>
      </c>
      <c r="X1007" s="5" t="str">
        <f ca="1">IF(INDIRECT("W1007")="Clássico","13%",IF(INDIRECT("W1007")="Premium","17%","-"))</f>
        <v>17%</v>
      </c>
      <c r="Y1007" s="5" t="s">
        <v>3641</v>
      </c>
    </row>
    <row r="1008" spans="1:25" ht="50" customHeight="1" x14ac:dyDescent="0.25">
      <c r="A1008" s="5" t="s">
        <v>1384</v>
      </c>
      <c r="B1008" s="5" t="s">
        <v>4102</v>
      </c>
      <c r="C1008" s="5" t="s">
        <v>1386</v>
      </c>
      <c r="D1008" s="5"/>
      <c r="E1008" s="5" t="s">
        <v>1387</v>
      </c>
      <c r="F1008" s="5" t="s">
        <v>1388</v>
      </c>
      <c r="G1008" s="5" t="s">
        <v>78</v>
      </c>
      <c r="H1008" s="7">
        <v>12</v>
      </c>
      <c r="I1008" s="5" t="s">
        <v>4103</v>
      </c>
      <c r="J1008" s="5" t="s">
        <v>58</v>
      </c>
      <c r="K1008" s="5" t="s">
        <v>2</v>
      </c>
      <c r="L1008" s="5" t="s">
        <v>2</v>
      </c>
      <c r="M1008" s="5" t="s">
        <v>2</v>
      </c>
      <c r="N1008" s="5" t="s">
        <v>2</v>
      </c>
      <c r="O1008" s="5" t="s">
        <v>2</v>
      </c>
      <c r="P1008" s="5" t="s">
        <v>2</v>
      </c>
      <c r="Q1008" s="5" t="s">
        <v>2</v>
      </c>
      <c r="R1008" s="5" t="s">
        <v>2</v>
      </c>
      <c r="S1008" s="5" t="s">
        <v>2</v>
      </c>
      <c r="T1008" s="5" t="s">
        <v>2</v>
      </c>
      <c r="U1008" s="5" t="s">
        <v>59</v>
      </c>
      <c r="V1008" s="5" t="s">
        <v>60</v>
      </c>
      <c r="W1008" s="5" t="s">
        <v>61</v>
      </c>
      <c r="X1008" s="5" t="str">
        <f ca="1">IF(INDIRECT("W1008")="Clássico","12%",IF(INDIRECT("W1008")="Premium","17%","-"))</f>
        <v>12%</v>
      </c>
      <c r="Y1008" s="5" t="s">
        <v>3641</v>
      </c>
    </row>
    <row r="1009" spans="1:25" ht="50" customHeight="1" x14ac:dyDescent="0.25">
      <c r="A1009" s="5" t="s">
        <v>4104</v>
      </c>
      <c r="B1009" s="5" t="s">
        <v>4105</v>
      </c>
      <c r="C1009" s="5" t="s">
        <v>4106</v>
      </c>
      <c r="D1009" s="5"/>
      <c r="E1009" s="5" t="s">
        <v>4107</v>
      </c>
      <c r="F1009" s="5" t="s">
        <v>4108</v>
      </c>
      <c r="G1009" s="5" t="s">
        <v>4108</v>
      </c>
      <c r="H1009" s="7">
        <v>12</v>
      </c>
      <c r="I1009" s="5" t="s">
        <v>3958</v>
      </c>
      <c r="J1009" s="5" t="s">
        <v>58</v>
      </c>
      <c r="K1009" s="5" t="s">
        <v>2</v>
      </c>
      <c r="L1009" s="5" t="s">
        <v>2</v>
      </c>
      <c r="M1009" s="5" t="s">
        <v>2</v>
      </c>
      <c r="N1009" s="5" t="s">
        <v>2</v>
      </c>
      <c r="O1009" s="5" t="s">
        <v>2</v>
      </c>
      <c r="P1009" s="5" t="s">
        <v>2</v>
      </c>
      <c r="Q1009" s="5" t="s">
        <v>2</v>
      </c>
      <c r="R1009" s="5" t="s">
        <v>2</v>
      </c>
      <c r="S1009" s="5" t="s">
        <v>2</v>
      </c>
      <c r="T1009" s="5" t="s">
        <v>2</v>
      </c>
      <c r="U1009" s="5" t="s">
        <v>59</v>
      </c>
      <c r="V1009" s="5" t="s">
        <v>60</v>
      </c>
      <c r="W1009" s="5" t="s">
        <v>84</v>
      </c>
      <c r="X1009" s="5" t="str">
        <f ca="1">IF(INDIRECT("W1009")="Clássico","13%",IF(INDIRECT("W1009")="Premium","17%","-"))</f>
        <v>17%</v>
      </c>
      <c r="Y1009" s="5" t="s">
        <v>3641</v>
      </c>
    </row>
    <row r="1010" spans="1:25" ht="50" customHeight="1" x14ac:dyDescent="0.25">
      <c r="A1010" s="5" t="s">
        <v>4109</v>
      </c>
      <c r="B1010" s="5" t="s">
        <v>4110</v>
      </c>
      <c r="C1010" s="5" t="s">
        <v>4111</v>
      </c>
      <c r="D1010" s="5"/>
      <c r="E1010" s="5" t="s">
        <v>4112</v>
      </c>
      <c r="F1010" s="5" t="s">
        <v>4113</v>
      </c>
      <c r="G1010" s="5" t="s">
        <v>4113</v>
      </c>
      <c r="H1010" s="7">
        <v>3</v>
      </c>
      <c r="I1010" s="5" t="s">
        <v>4010</v>
      </c>
      <c r="J1010" s="5" t="s">
        <v>58</v>
      </c>
      <c r="K1010" s="5" t="s">
        <v>2</v>
      </c>
      <c r="L1010" s="5" t="s">
        <v>2</v>
      </c>
      <c r="M1010" s="5" t="s">
        <v>2</v>
      </c>
      <c r="N1010" s="5" t="s">
        <v>2</v>
      </c>
      <c r="O1010" s="5" t="s">
        <v>2</v>
      </c>
      <c r="P1010" s="5" t="s">
        <v>2</v>
      </c>
      <c r="Q1010" s="5" t="s">
        <v>2</v>
      </c>
      <c r="R1010" s="5" t="s">
        <v>2</v>
      </c>
      <c r="S1010" s="5" t="s">
        <v>2</v>
      </c>
      <c r="T1010" s="5" t="s">
        <v>2</v>
      </c>
      <c r="U1010" s="5" t="s">
        <v>59</v>
      </c>
      <c r="V1010" s="5" t="s">
        <v>60</v>
      </c>
      <c r="W1010" s="5" t="s">
        <v>61</v>
      </c>
      <c r="X1010" s="5" t="str">
        <f ca="1">IF(INDIRECT("W1010")="Clássico","13%",IF(INDIRECT("W1010")="Premium","17%","-"))</f>
        <v>13%</v>
      </c>
      <c r="Y1010" s="5" t="s">
        <v>3641</v>
      </c>
    </row>
    <row r="1011" spans="1:25" ht="50" customHeight="1" x14ac:dyDescent="0.25">
      <c r="A1011" s="5" t="s">
        <v>4114</v>
      </c>
      <c r="B1011" s="5" t="s">
        <v>4115</v>
      </c>
      <c r="C1011" s="5" t="s">
        <v>4116</v>
      </c>
      <c r="D1011" s="5"/>
      <c r="E1011" s="5" t="s">
        <v>4117</v>
      </c>
      <c r="F1011" s="5" t="s">
        <v>4118</v>
      </c>
      <c r="G1011" s="5" t="s">
        <v>4118</v>
      </c>
      <c r="H1011" s="7">
        <v>3</v>
      </c>
      <c r="I1011" s="5" t="s">
        <v>4010</v>
      </c>
      <c r="J1011" s="5" t="s">
        <v>58</v>
      </c>
      <c r="K1011" s="5" t="s">
        <v>2</v>
      </c>
      <c r="L1011" s="5" t="s">
        <v>2</v>
      </c>
      <c r="M1011" s="5" t="s">
        <v>2</v>
      </c>
      <c r="N1011" s="5" t="s">
        <v>2</v>
      </c>
      <c r="O1011" s="5" t="s">
        <v>2</v>
      </c>
      <c r="P1011" s="5" t="s">
        <v>2</v>
      </c>
      <c r="Q1011" s="5" t="s">
        <v>2</v>
      </c>
      <c r="R1011" s="5" t="s">
        <v>2</v>
      </c>
      <c r="S1011" s="5" t="s">
        <v>2</v>
      </c>
      <c r="T1011" s="5" t="s">
        <v>2</v>
      </c>
      <c r="U1011" s="5" t="s">
        <v>59</v>
      </c>
      <c r="V1011" s="5" t="s">
        <v>60</v>
      </c>
      <c r="W1011" s="5" t="s">
        <v>61</v>
      </c>
      <c r="X1011" s="5" t="str">
        <f ca="1">IF(INDIRECT("W1011")="Clássico","13%",IF(INDIRECT("W1011")="Premium","17%","-"))</f>
        <v>13%</v>
      </c>
      <c r="Y1011" s="5" t="s">
        <v>3641</v>
      </c>
    </row>
    <row r="1012" spans="1:25" ht="50" customHeight="1" x14ac:dyDescent="0.25">
      <c r="A1012" s="5" t="s">
        <v>4119</v>
      </c>
      <c r="B1012" s="5" t="s">
        <v>4120</v>
      </c>
      <c r="C1012" s="5" t="s">
        <v>4121</v>
      </c>
      <c r="D1012" s="5"/>
      <c r="E1012" s="5" t="s">
        <v>4122</v>
      </c>
      <c r="F1012" s="5" t="s">
        <v>4123</v>
      </c>
      <c r="G1012" s="5" t="s">
        <v>4123</v>
      </c>
      <c r="H1012" s="7">
        <v>3</v>
      </c>
      <c r="I1012" s="5" t="s">
        <v>4010</v>
      </c>
      <c r="J1012" s="5" t="s">
        <v>58</v>
      </c>
      <c r="K1012" s="5" t="s">
        <v>2</v>
      </c>
      <c r="L1012" s="5" t="s">
        <v>2</v>
      </c>
      <c r="M1012" s="5" t="s">
        <v>2</v>
      </c>
      <c r="N1012" s="5" t="s">
        <v>2</v>
      </c>
      <c r="O1012" s="5" t="s">
        <v>2</v>
      </c>
      <c r="P1012" s="5" t="s">
        <v>2</v>
      </c>
      <c r="Q1012" s="5" t="s">
        <v>2</v>
      </c>
      <c r="R1012" s="5" t="s">
        <v>2</v>
      </c>
      <c r="S1012" s="5" t="s">
        <v>2</v>
      </c>
      <c r="T1012" s="5" t="s">
        <v>2</v>
      </c>
      <c r="U1012" s="5" t="s">
        <v>59</v>
      </c>
      <c r="V1012" s="5" t="s">
        <v>60</v>
      </c>
      <c r="W1012" s="5" t="s">
        <v>84</v>
      </c>
      <c r="X1012" s="5" t="str">
        <f ca="1">IF(INDIRECT("W1012")="Clássico","13%",IF(INDIRECT("W1012")="Premium","17%","-"))</f>
        <v>17%</v>
      </c>
      <c r="Y1012" s="5" t="s">
        <v>3641</v>
      </c>
    </row>
    <row r="1013" spans="1:25" ht="50" customHeight="1" x14ac:dyDescent="0.25">
      <c r="A1013" s="5" t="s">
        <v>4114</v>
      </c>
      <c r="B1013" s="5" t="s">
        <v>4124</v>
      </c>
      <c r="C1013" s="5" t="s">
        <v>4116</v>
      </c>
      <c r="D1013" s="5"/>
      <c r="E1013" s="5" t="s">
        <v>4117</v>
      </c>
      <c r="F1013" s="5" t="s">
        <v>4118</v>
      </c>
      <c r="G1013" s="5" t="s">
        <v>4118</v>
      </c>
      <c r="H1013" s="7">
        <v>3</v>
      </c>
      <c r="I1013" s="5" t="s">
        <v>4010</v>
      </c>
      <c r="J1013" s="5" t="s">
        <v>58</v>
      </c>
      <c r="K1013" s="5" t="s">
        <v>2</v>
      </c>
      <c r="L1013" s="5" t="s">
        <v>2</v>
      </c>
      <c r="M1013" s="5" t="s">
        <v>2</v>
      </c>
      <c r="N1013" s="5" t="s">
        <v>2</v>
      </c>
      <c r="O1013" s="5" t="s">
        <v>2</v>
      </c>
      <c r="P1013" s="5" t="s">
        <v>2</v>
      </c>
      <c r="Q1013" s="5" t="s">
        <v>2</v>
      </c>
      <c r="R1013" s="5" t="s">
        <v>2</v>
      </c>
      <c r="S1013" s="5" t="s">
        <v>2</v>
      </c>
      <c r="T1013" s="5" t="s">
        <v>2</v>
      </c>
      <c r="U1013" s="5" t="s">
        <v>59</v>
      </c>
      <c r="V1013" s="5" t="s">
        <v>60</v>
      </c>
      <c r="W1013" s="5" t="s">
        <v>84</v>
      </c>
      <c r="X1013" s="5" t="str">
        <f ca="1">IF(INDIRECT("W1013")="Clássico","13%",IF(INDIRECT("W1013")="Premium","17%","-"))</f>
        <v>17%</v>
      </c>
      <c r="Y1013" s="5" t="s">
        <v>3641</v>
      </c>
    </row>
    <row r="1014" spans="1:25" ht="50" customHeight="1" x14ac:dyDescent="0.25">
      <c r="A1014" s="5" t="s">
        <v>2497</v>
      </c>
      <c r="B1014" s="5" t="s">
        <v>4125</v>
      </c>
      <c r="C1014" s="5" t="s">
        <v>2499</v>
      </c>
      <c r="D1014" s="5"/>
      <c r="E1014" s="5" t="s">
        <v>2500</v>
      </c>
      <c r="F1014" s="5" t="s">
        <v>2501</v>
      </c>
      <c r="G1014" s="5" t="s">
        <v>2501</v>
      </c>
      <c r="H1014" s="7">
        <v>4</v>
      </c>
      <c r="I1014" s="5" t="s">
        <v>3972</v>
      </c>
      <c r="J1014" s="5" t="s">
        <v>58</v>
      </c>
      <c r="K1014" s="5" t="s">
        <v>2</v>
      </c>
      <c r="L1014" s="5" t="s">
        <v>2</v>
      </c>
      <c r="M1014" s="5" t="s">
        <v>2</v>
      </c>
      <c r="N1014" s="5" t="s">
        <v>2</v>
      </c>
      <c r="O1014" s="5" t="s">
        <v>2</v>
      </c>
      <c r="P1014" s="5" t="s">
        <v>2</v>
      </c>
      <c r="Q1014" s="5" t="s">
        <v>2</v>
      </c>
      <c r="R1014" s="5" t="s">
        <v>2</v>
      </c>
      <c r="S1014" s="5" t="s">
        <v>2</v>
      </c>
      <c r="T1014" s="5" t="s">
        <v>2</v>
      </c>
      <c r="U1014" s="5" t="s">
        <v>59</v>
      </c>
      <c r="V1014" s="5" t="s">
        <v>60</v>
      </c>
      <c r="W1014" s="5" t="s">
        <v>61</v>
      </c>
      <c r="X1014" s="5" t="str">
        <f ca="1">IF(INDIRECT("W1014")="Clássico","13%",IF(INDIRECT("W1014")="Premium","17%","-"))</f>
        <v>13%</v>
      </c>
      <c r="Y1014" s="5" t="s">
        <v>3641</v>
      </c>
    </row>
    <row r="1015" spans="1:25" ht="50" customHeight="1" x14ac:dyDescent="0.25">
      <c r="A1015" s="5" t="s">
        <v>4126</v>
      </c>
      <c r="B1015" s="5" t="s">
        <v>4127</v>
      </c>
      <c r="C1015" s="5" t="s">
        <v>4128</v>
      </c>
      <c r="D1015" s="5"/>
      <c r="E1015" s="5" t="s">
        <v>4129</v>
      </c>
      <c r="F1015" s="5" t="s">
        <v>4130</v>
      </c>
      <c r="G1015" s="5" t="s">
        <v>4130</v>
      </c>
      <c r="H1015" s="7">
        <v>60</v>
      </c>
      <c r="I1015" s="5" t="s">
        <v>3958</v>
      </c>
      <c r="J1015" s="5" t="s">
        <v>58</v>
      </c>
      <c r="K1015" s="5" t="s">
        <v>2</v>
      </c>
      <c r="L1015" s="5" t="s">
        <v>2</v>
      </c>
      <c r="M1015" s="5" t="s">
        <v>2</v>
      </c>
      <c r="N1015" s="5" t="s">
        <v>2</v>
      </c>
      <c r="O1015" s="5" t="s">
        <v>2</v>
      </c>
      <c r="P1015" s="5" t="s">
        <v>2</v>
      </c>
      <c r="Q1015" s="5" t="s">
        <v>2</v>
      </c>
      <c r="R1015" s="5" t="s">
        <v>2</v>
      </c>
      <c r="S1015" s="5" t="s">
        <v>2</v>
      </c>
      <c r="T1015" s="5" t="s">
        <v>2</v>
      </c>
      <c r="U1015" s="5" t="s">
        <v>59</v>
      </c>
      <c r="V1015" s="5" t="s">
        <v>60</v>
      </c>
      <c r="W1015" s="5" t="s">
        <v>61</v>
      </c>
      <c r="X1015" s="5" t="str">
        <f ca="1">IF(INDIRECT("W1015")="Clássico","13%",IF(INDIRECT("W1015")="Premium","17%","-"))</f>
        <v>13%</v>
      </c>
      <c r="Y1015" s="5" t="s">
        <v>3641</v>
      </c>
    </row>
  </sheetData>
  <mergeCells count="23">
    <mergeCell ref="W2:Y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U3:U4"/>
    <mergeCell ref="V3:V4"/>
    <mergeCell ref="W3:W4"/>
    <mergeCell ref="X3:X4"/>
    <mergeCell ref="Y3:Y4"/>
    <mergeCell ref="A2:G2"/>
    <mergeCell ref="S3:T3"/>
    <mergeCell ref="Q3:R3"/>
    <mergeCell ref="O3:P3"/>
    <mergeCell ref="M3:N3"/>
    <mergeCell ref="K3:L3"/>
    <mergeCell ref="H2:U2"/>
  </mergeCells>
  <conditionalFormatting sqref="J6:J958">
    <cfRule type="cellIs" priority="1" operator="equal">
      <formula>"R$"</formula>
    </cfRule>
  </conditionalFormatting>
  <conditionalFormatting sqref="U6:U8">
    <cfRule type="cellIs" priority="2" operator="equal">
      <formula>"Novo"</formula>
    </cfRule>
  </conditionalFormatting>
  <conditionalFormatting sqref="U11:U18">
    <cfRule type="cellIs" priority="25" operator="equal">
      <formula>"Novo"</formula>
    </cfRule>
  </conditionalFormatting>
  <conditionalFormatting sqref="U20:U30">
    <cfRule type="cellIs" priority="69" operator="equal">
      <formula>"Novo"</formula>
    </cfRule>
  </conditionalFormatting>
  <conditionalFormatting sqref="U32:U49">
    <cfRule type="cellIs" priority="128" operator="equal">
      <formula>"Novo"</formula>
    </cfRule>
  </conditionalFormatting>
  <conditionalFormatting sqref="U51:U56">
    <cfRule type="cellIs" priority="222" operator="equal">
      <formula>"Novo"</formula>
    </cfRule>
  </conditionalFormatting>
  <conditionalFormatting sqref="U58:U59">
    <cfRule type="cellIs" priority="255" operator="equal">
      <formula>"Novo"</formula>
    </cfRule>
  </conditionalFormatting>
  <conditionalFormatting sqref="U61:U66">
    <cfRule type="cellIs" priority="269" operator="equal">
      <formula>"Novo"</formula>
    </cfRule>
  </conditionalFormatting>
  <conditionalFormatting sqref="U68:U77">
    <cfRule type="cellIs" priority="303" operator="equal">
      <formula>"Novo"</formula>
    </cfRule>
  </conditionalFormatting>
  <conditionalFormatting sqref="U79:U80">
    <cfRule type="cellIs" priority="357" operator="equal">
      <formula>"Novo"</formula>
    </cfRule>
  </conditionalFormatting>
  <conditionalFormatting sqref="U82:U102">
    <cfRule type="cellIs" priority="371" operator="equal">
      <formula>"Novo"</formula>
    </cfRule>
  </conditionalFormatting>
  <conditionalFormatting sqref="U104:U116">
    <cfRule type="cellIs" priority="480" operator="equal">
      <formula>"Novo"</formula>
    </cfRule>
  </conditionalFormatting>
  <conditionalFormatting sqref="U118:U137">
    <cfRule type="cellIs" priority="549" operator="equal">
      <formula>"Novo"</formula>
    </cfRule>
  </conditionalFormatting>
  <conditionalFormatting sqref="U139:U141">
    <cfRule type="cellIs" priority="653" operator="equal">
      <formula>"Novo"</formula>
    </cfRule>
  </conditionalFormatting>
  <conditionalFormatting sqref="U143:U181">
    <cfRule type="cellIs" priority="672" operator="equal">
      <formula>"Novo"</formula>
    </cfRule>
  </conditionalFormatting>
  <conditionalFormatting sqref="U184:U206">
    <cfRule type="cellIs" priority="875" operator="equal">
      <formula>"Novo"</formula>
    </cfRule>
  </conditionalFormatting>
  <conditionalFormatting sqref="U208:U225">
    <cfRule type="cellIs" priority="994" operator="equal">
      <formula>"Novo"</formula>
    </cfRule>
  </conditionalFormatting>
  <conditionalFormatting sqref="U227:U232">
    <cfRule type="cellIs" priority="1088" operator="equal">
      <formula>"Novo"</formula>
    </cfRule>
  </conditionalFormatting>
  <conditionalFormatting sqref="U234">
    <cfRule type="cellIs" priority="1122" operator="equal">
      <formula>"Novo"</formula>
    </cfRule>
  </conditionalFormatting>
  <conditionalFormatting sqref="U236">
    <cfRule type="cellIs" priority="1131" operator="equal">
      <formula>"Novo"</formula>
    </cfRule>
  </conditionalFormatting>
  <conditionalFormatting sqref="U240:U242">
    <cfRule type="cellIs" priority="1148" operator="equal">
      <formula>"Novo"</formula>
    </cfRule>
  </conditionalFormatting>
  <conditionalFormatting sqref="U244:U257">
    <cfRule type="cellIs" priority="1167" operator="equal">
      <formula>"Novo"</formula>
    </cfRule>
  </conditionalFormatting>
  <conditionalFormatting sqref="U259">
    <cfRule type="cellIs" priority="1241" operator="equal">
      <formula>"Novo"</formula>
    </cfRule>
  </conditionalFormatting>
  <conditionalFormatting sqref="U261">
    <cfRule type="cellIs" priority="1250" operator="equal">
      <formula>"Novo"</formula>
    </cfRule>
  </conditionalFormatting>
  <conditionalFormatting sqref="U281:U365">
    <cfRule type="cellIs" priority="1331" operator="equal">
      <formula>"Novo"</formula>
    </cfRule>
  </conditionalFormatting>
  <conditionalFormatting sqref="U382:U388">
    <cfRule type="cellIs" priority="1819" operator="equal">
      <formula>"Novo"</formula>
    </cfRule>
  </conditionalFormatting>
  <conditionalFormatting sqref="U390:U415">
    <cfRule type="cellIs" priority="1858" operator="equal">
      <formula>"Novo"</formula>
    </cfRule>
  </conditionalFormatting>
  <conditionalFormatting sqref="U417:U420">
    <cfRule type="cellIs" priority="1992" operator="equal">
      <formula>"Novo"</formula>
    </cfRule>
  </conditionalFormatting>
  <conditionalFormatting sqref="U422:U423">
    <cfRule type="cellIs" priority="2016" operator="equal">
      <formula>"Novo"</formula>
    </cfRule>
  </conditionalFormatting>
  <conditionalFormatting sqref="U425:U427">
    <cfRule type="cellIs" priority="2030" operator="equal">
      <formula>"Novo"</formula>
    </cfRule>
  </conditionalFormatting>
  <conditionalFormatting sqref="U429:U499">
    <cfRule type="cellIs" priority="2049" operator="equal">
      <formula>"Novo"</formula>
    </cfRule>
  </conditionalFormatting>
  <conditionalFormatting sqref="U501:U510">
    <cfRule type="cellIs" priority="2408" operator="equal">
      <formula>"Novo"</formula>
    </cfRule>
  </conditionalFormatting>
  <conditionalFormatting sqref="U512:U514">
    <cfRule type="cellIs" priority="2462" operator="equal">
      <formula>"Novo"</formula>
    </cfRule>
  </conditionalFormatting>
  <conditionalFormatting sqref="U516:U547">
    <cfRule type="cellIs" priority="2481" operator="equal">
      <formula>"Novo"</formula>
    </cfRule>
  </conditionalFormatting>
  <conditionalFormatting sqref="U549:U563">
    <cfRule type="cellIs" priority="2645" operator="equal">
      <formula>"Novo"</formula>
    </cfRule>
  </conditionalFormatting>
  <conditionalFormatting sqref="U565:U589">
    <cfRule type="cellIs" priority="2724" operator="equal">
      <formula>"Novo"</formula>
    </cfRule>
  </conditionalFormatting>
  <conditionalFormatting sqref="U592:U598">
    <cfRule type="cellIs" priority="2857" operator="equal">
      <formula>"Novo"</formula>
    </cfRule>
  </conditionalFormatting>
  <conditionalFormatting sqref="U600:U623">
    <cfRule type="cellIs" priority="2896" operator="equal">
      <formula>"Novo"</formula>
    </cfRule>
  </conditionalFormatting>
  <conditionalFormatting sqref="U625:U645">
    <cfRule type="cellIs" priority="3020" operator="equal">
      <formula>"Novo"</formula>
    </cfRule>
  </conditionalFormatting>
  <conditionalFormatting sqref="U664">
    <cfRule type="cellIs" priority="3197" operator="equal">
      <formula>"Novo"</formula>
    </cfRule>
  </conditionalFormatting>
  <conditionalFormatting sqref="U672:U710">
    <cfRule type="cellIs" priority="3230" operator="equal">
      <formula>"Novo"</formula>
    </cfRule>
  </conditionalFormatting>
  <conditionalFormatting sqref="U715:U761">
    <cfRule type="cellIs" priority="3441" operator="equal">
      <formula>"Novo"</formula>
    </cfRule>
  </conditionalFormatting>
  <conditionalFormatting sqref="U763:U782">
    <cfRule type="cellIs" priority="3680" operator="equal">
      <formula>"Novo"</formula>
    </cfRule>
  </conditionalFormatting>
  <conditionalFormatting sqref="U888:U899">
    <cfRule type="cellIs" priority="4194" operator="equal">
      <formula>"Novo"</formula>
    </cfRule>
  </conditionalFormatting>
  <conditionalFormatting sqref="U901:U911">
    <cfRule type="cellIs" priority="4258" operator="equal">
      <formula>"Novo"</formula>
    </cfRule>
  </conditionalFormatting>
  <conditionalFormatting sqref="U913:U919">
    <cfRule type="cellIs" priority="4317" operator="equal">
      <formula>"Novo"</formula>
    </cfRule>
  </conditionalFormatting>
  <conditionalFormatting sqref="U924:U944">
    <cfRule type="cellIs" priority="4368" operator="equal">
      <formula>"Novo"</formula>
    </cfRule>
  </conditionalFormatting>
  <conditionalFormatting sqref="U946:U950">
    <cfRule type="cellIs" priority="4477" operator="equal">
      <formula>"Novo"</formula>
    </cfRule>
  </conditionalFormatting>
  <conditionalFormatting sqref="U952:U953">
    <cfRule type="cellIs" priority="4506" operator="equal">
      <formula>"Novo"</formula>
    </cfRule>
  </conditionalFormatting>
  <conditionalFormatting sqref="V6:V12">
    <cfRule type="cellIs" priority="3" operator="equal">
      <formula>"Mercado Envios por conta do comprador"</formula>
    </cfRule>
  </conditionalFormatting>
  <conditionalFormatting sqref="V13">
    <cfRule type="cellIs" priority="36" operator="equal">
      <formula>"Não faço envios"</formula>
    </cfRule>
  </conditionalFormatting>
  <conditionalFormatting sqref="V14:V18">
    <cfRule type="cellIs" priority="41" operator="equal">
      <formula>"Mercado Envios por conta do comprador"</formula>
    </cfRule>
  </conditionalFormatting>
  <conditionalFormatting sqref="V19">
    <cfRule type="cellIs" priority="65" operator="equal">
      <formula>"Mercado Envios grátis"</formula>
    </cfRule>
  </conditionalFormatting>
  <conditionalFormatting sqref="V20:V36">
    <cfRule type="cellIs" priority="70" operator="equal">
      <formula>"Mercado Envios por conta do comprador"</formula>
    </cfRule>
  </conditionalFormatting>
  <conditionalFormatting sqref="V37">
    <cfRule type="cellIs" priority="154" operator="equal">
      <formula>"Mercado Envios grátis"</formula>
    </cfRule>
  </conditionalFormatting>
  <conditionalFormatting sqref="V38:V48">
    <cfRule type="cellIs" priority="159" operator="equal">
      <formula>"Mercado Envios por conta do comprador"</formula>
    </cfRule>
  </conditionalFormatting>
  <conditionalFormatting sqref="V49">
    <cfRule type="cellIs" priority="214" operator="equal">
      <formula>"Mercado Envios grátis"</formula>
    </cfRule>
  </conditionalFormatting>
  <conditionalFormatting sqref="V50">
    <cfRule type="cellIs" priority="218" operator="equal">
      <formula>"Mercado Envios por conta do comprador"</formula>
    </cfRule>
  </conditionalFormatting>
  <conditionalFormatting sqref="V52:V53">
    <cfRule type="cellIs" priority="227" operator="equal">
      <formula>"Mercado Envios por conta do comprador"</formula>
    </cfRule>
  </conditionalFormatting>
  <conditionalFormatting sqref="V54">
    <cfRule type="cellIs" priority="237" operator="equal">
      <formula>"Mercado Envios grátis"</formula>
    </cfRule>
  </conditionalFormatting>
  <conditionalFormatting sqref="V55:V59">
    <cfRule type="cellIs" priority="242" operator="equal">
      <formula>"Mercado Envios por conta do comprador"</formula>
    </cfRule>
  </conditionalFormatting>
  <conditionalFormatting sqref="V60">
    <cfRule type="cellIs" priority="265" operator="equal">
      <formula>"Mercado Envios grátis"</formula>
    </cfRule>
  </conditionalFormatting>
  <conditionalFormatting sqref="V61:V63">
    <cfRule type="cellIs" priority="270" operator="equal">
      <formula>"Mercado Envios por conta do comprador"</formula>
    </cfRule>
  </conditionalFormatting>
  <conditionalFormatting sqref="V64">
    <cfRule type="cellIs" priority="285" operator="equal">
      <formula>"Mercado Envios grátis"</formula>
    </cfRule>
  </conditionalFormatting>
  <conditionalFormatting sqref="V65:V70">
    <cfRule type="cellIs" priority="290" operator="equal">
      <formula>"Mercado Envios por conta do comprador"</formula>
    </cfRule>
  </conditionalFormatting>
  <conditionalFormatting sqref="V71:V72">
    <cfRule type="cellIs" priority="319" operator="equal">
      <formula>"Não faço envios"</formula>
    </cfRule>
  </conditionalFormatting>
  <conditionalFormatting sqref="V73:V75">
    <cfRule type="cellIs" priority="329" operator="equal">
      <formula>"Mercado Envios por conta do comprador"</formula>
    </cfRule>
  </conditionalFormatting>
  <conditionalFormatting sqref="V76:V77">
    <cfRule type="cellIs" priority="344" operator="equal">
      <formula>"Não faço envios"</formula>
    </cfRule>
  </conditionalFormatting>
  <conditionalFormatting sqref="V78">
    <cfRule type="cellIs" priority="353" operator="equal">
      <formula>"Mercado Envios por conta do comprador"</formula>
    </cfRule>
  </conditionalFormatting>
  <conditionalFormatting sqref="V79">
    <cfRule type="cellIs" priority="358" operator="equal">
      <formula>"Não faço envios"</formula>
    </cfRule>
  </conditionalFormatting>
  <conditionalFormatting sqref="V80:V82">
    <cfRule type="cellIs" priority="363" operator="equal">
      <formula>"Mercado Envios por conta do comprador"</formula>
    </cfRule>
  </conditionalFormatting>
  <conditionalFormatting sqref="V83">
    <cfRule type="cellIs" priority="377" operator="equal">
      <formula>"Mercado Envios grátis"</formula>
    </cfRule>
  </conditionalFormatting>
  <conditionalFormatting sqref="V84">
    <cfRule type="cellIs" priority="382" operator="equal">
      <formula>"Mercado Envios por conta do comprador"</formula>
    </cfRule>
  </conditionalFormatting>
  <conditionalFormatting sqref="V85:V86">
    <cfRule type="cellIs" priority="387" operator="equal">
      <formula>"Não faço envios"</formula>
    </cfRule>
  </conditionalFormatting>
  <conditionalFormatting sqref="V87:V88">
    <cfRule type="cellIs" priority="397" operator="equal">
      <formula>"Mercado Envios por conta do comprador"</formula>
    </cfRule>
  </conditionalFormatting>
  <conditionalFormatting sqref="V89">
    <cfRule type="cellIs" priority="407" operator="equal">
      <formula>"Não faço envios"</formula>
    </cfRule>
  </conditionalFormatting>
  <conditionalFormatting sqref="V90">
    <cfRule type="cellIs" priority="412" operator="equal">
      <formula>"Envios por minha conta a cargo do comprador"</formula>
    </cfRule>
  </conditionalFormatting>
  <conditionalFormatting sqref="V91:V93">
    <cfRule type="cellIs" priority="417" operator="equal">
      <formula>"Mercado Envios por conta do comprador"</formula>
    </cfRule>
  </conditionalFormatting>
  <conditionalFormatting sqref="V94">
    <cfRule type="cellIs" priority="432" operator="equal">
      <formula>"Não faço envios"</formula>
    </cfRule>
  </conditionalFormatting>
  <conditionalFormatting sqref="V95:V97">
    <cfRule type="cellIs" priority="437" operator="equal">
      <formula>"Mercado Envios por conta do comprador"</formula>
    </cfRule>
  </conditionalFormatting>
  <conditionalFormatting sqref="V98">
    <cfRule type="cellIs" priority="452" operator="equal">
      <formula>"Mercado Envios grátis"</formula>
    </cfRule>
  </conditionalFormatting>
  <conditionalFormatting sqref="V99:V102">
    <cfRule type="cellIs" priority="457" operator="equal">
      <formula>"Mercado Envios por conta do comprador"</formula>
    </cfRule>
  </conditionalFormatting>
  <conditionalFormatting sqref="V103">
    <cfRule type="cellIs" priority="476" operator="equal">
      <formula>"Mercado Envios grátis"</formula>
    </cfRule>
  </conditionalFormatting>
  <conditionalFormatting sqref="V104">
    <cfRule type="cellIs" priority="481" operator="equal">
      <formula>"Mercado Envios por conta do comprador"</formula>
    </cfRule>
  </conditionalFormatting>
  <conditionalFormatting sqref="V105:V108">
    <cfRule type="cellIs" priority="486" operator="equal">
      <formula>"Não faço envios"</formula>
    </cfRule>
  </conditionalFormatting>
  <conditionalFormatting sqref="V109:V111">
    <cfRule type="cellIs" priority="506" operator="equal">
      <formula>"Mercado Envios por conta do comprador"</formula>
    </cfRule>
  </conditionalFormatting>
  <conditionalFormatting sqref="V112">
    <cfRule type="cellIs" priority="521" operator="equal">
      <formula>"Mercado Envios grátis"</formula>
    </cfRule>
  </conditionalFormatting>
  <conditionalFormatting sqref="V113:V115">
    <cfRule type="cellIs" priority="526" operator="equal">
      <formula>"Mercado Envios por conta do comprador"</formula>
    </cfRule>
  </conditionalFormatting>
  <conditionalFormatting sqref="V116">
    <cfRule type="cellIs" priority="541" operator="equal">
      <formula>"Não faço envios"</formula>
    </cfRule>
  </conditionalFormatting>
  <conditionalFormatting sqref="V117">
    <cfRule type="cellIs" priority="545" operator="equal">
      <formula>"Mercado Envios por conta do comprador"</formula>
    </cfRule>
  </conditionalFormatting>
  <conditionalFormatting sqref="V118:V120">
    <cfRule type="cellIs" priority="550" operator="equal">
      <formula>"Não faço envios"</formula>
    </cfRule>
  </conditionalFormatting>
  <conditionalFormatting sqref="V121">
    <cfRule type="cellIs" priority="565" operator="equal">
      <formula>"Mercado Envios por conta do comprador"</formula>
    </cfRule>
  </conditionalFormatting>
  <conditionalFormatting sqref="V122">
    <cfRule type="cellIs" priority="570" operator="equal">
      <formula>"Mercado Envios grátis"</formula>
    </cfRule>
  </conditionalFormatting>
  <conditionalFormatting sqref="V123">
    <cfRule type="cellIs" priority="575" operator="equal">
      <formula>"Mercado Envios por conta do comprador"</formula>
    </cfRule>
  </conditionalFormatting>
  <conditionalFormatting sqref="V124:V126">
    <cfRule type="cellIs" priority="580" operator="equal">
      <formula>"Não faço envios"</formula>
    </cfRule>
  </conditionalFormatting>
  <conditionalFormatting sqref="V127">
    <cfRule type="cellIs" priority="595" operator="equal">
      <formula>"Mercado Envios por conta do comprador"</formula>
    </cfRule>
  </conditionalFormatting>
  <conditionalFormatting sqref="V128:V130">
    <cfRule type="cellIs" priority="600" operator="equal">
      <formula>"Não faço envios"</formula>
    </cfRule>
  </conditionalFormatting>
  <conditionalFormatting sqref="V131:V136">
    <cfRule type="cellIs" priority="615" operator="equal">
      <formula>"Mercado Envios por conta do comprador"</formula>
    </cfRule>
  </conditionalFormatting>
  <conditionalFormatting sqref="V137">
    <cfRule type="cellIs" priority="645" operator="equal">
      <formula>"Mercado Envios grátis"</formula>
    </cfRule>
  </conditionalFormatting>
  <conditionalFormatting sqref="V138">
    <cfRule type="cellIs" priority="649" operator="equal">
      <formula>"Mercado Envios por conta do comprador"</formula>
    </cfRule>
  </conditionalFormatting>
  <conditionalFormatting sqref="V139">
    <cfRule type="cellIs" priority="654" operator="equal">
      <formula>"Não faço envios"</formula>
    </cfRule>
  </conditionalFormatting>
  <conditionalFormatting sqref="V140:V147">
    <cfRule type="cellIs" priority="659" operator="equal">
      <formula>"Mercado Envios por conta do comprador"</formula>
    </cfRule>
  </conditionalFormatting>
  <conditionalFormatting sqref="V148">
    <cfRule type="cellIs" priority="698" operator="equal">
      <formula>"Mercado Envios grátis"</formula>
    </cfRule>
  </conditionalFormatting>
  <conditionalFormatting sqref="V149">
    <cfRule type="cellIs" priority="703" operator="equal">
      <formula>"Não faço envios"</formula>
    </cfRule>
  </conditionalFormatting>
  <conditionalFormatting sqref="V150">
    <cfRule type="cellIs" priority="708" operator="equal">
      <formula>"Mercado Envios por conta do comprador"</formula>
    </cfRule>
  </conditionalFormatting>
  <conditionalFormatting sqref="V151">
    <cfRule type="cellIs" priority="713" operator="equal">
      <formula>"Não faço envios"</formula>
    </cfRule>
  </conditionalFormatting>
  <conditionalFormatting sqref="V152:V153">
    <cfRule type="cellIs" priority="718" operator="equal">
      <formula>"Mercado Envios por conta do comprador"</formula>
    </cfRule>
  </conditionalFormatting>
  <conditionalFormatting sqref="V154">
    <cfRule type="cellIs" priority="728" operator="equal">
      <formula>"Não faço envios"</formula>
    </cfRule>
  </conditionalFormatting>
  <conditionalFormatting sqref="V155">
    <cfRule type="cellIs" priority="733" operator="equal">
      <formula>"Mercado Envios por conta do comprador"</formula>
    </cfRule>
  </conditionalFormatting>
  <conditionalFormatting sqref="V156:V157">
    <cfRule type="cellIs" priority="738" operator="equal">
      <formula>"Não faço envios"</formula>
    </cfRule>
  </conditionalFormatting>
  <conditionalFormatting sqref="V158:V166">
    <cfRule type="cellIs" priority="748" operator="equal">
      <formula>"Mercado Envios por conta do comprador"</formula>
    </cfRule>
  </conditionalFormatting>
  <conditionalFormatting sqref="V167">
    <cfRule type="cellIs" priority="793" operator="equal">
      <formula>"Não faço envios"</formula>
    </cfRule>
  </conditionalFormatting>
  <conditionalFormatting sqref="V168">
    <cfRule type="cellIs" priority="798" operator="equal">
      <formula>"Mercado Envios por conta do comprador"</formula>
    </cfRule>
  </conditionalFormatting>
  <conditionalFormatting sqref="V169">
    <cfRule type="cellIs" priority="803" operator="equal">
      <formula>"Não faço envios"</formula>
    </cfRule>
  </conditionalFormatting>
  <conditionalFormatting sqref="V170:V181">
    <cfRule type="cellIs" priority="808" operator="equal">
      <formula>"Mercado Envios por conta do comprador"</formula>
    </cfRule>
  </conditionalFormatting>
  <conditionalFormatting sqref="V182:V183">
    <cfRule type="cellIs" priority="867" operator="equal">
      <formula>"Mercado Envios grátis"</formula>
    </cfRule>
  </conditionalFormatting>
  <conditionalFormatting sqref="V184">
    <cfRule type="cellIs" priority="876" operator="equal">
      <formula>"Mercado Envios por conta do comprador"</formula>
    </cfRule>
  </conditionalFormatting>
  <conditionalFormatting sqref="V185">
    <cfRule type="cellIs" priority="881" operator="equal">
      <formula>"Mercado Envios grátis"</formula>
    </cfRule>
  </conditionalFormatting>
  <conditionalFormatting sqref="V186">
    <cfRule type="cellIs" priority="886" operator="equal">
      <formula>"Não faço envios"</formula>
    </cfRule>
  </conditionalFormatting>
  <conditionalFormatting sqref="V187">
    <cfRule type="cellIs" priority="891" operator="equal">
      <formula>"Mercado Envios por conta do comprador"</formula>
    </cfRule>
  </conditionalFormatting>
  <conditionalFormatting sqref="V188:V190">
    <cfRule type="cellIs" priority="896" operator="equal">
      <formula>"Não faço envios"</formula>
    </cfRule>
  </conditionalFormatting>
  <conditionalFormatting sqref="V191:V192">
    <cfRule type="cellIs" priority="911" operator="equal">
      <formula>"Mercado Envios por conta do comprador"</formula>
    </cfRule>
  </conditionalFormatting>
  <conditionalFormatting sqref="V193:V195">
    <cfRule type="cellIs" priority="921" operator="equal">
      <formula>"Não faço envios"</formula>
    </cfRule>
  </conditionalFormatting>
  <conditionalFormatting sqref="V196">
    <cfRule type="cellIs" priority="936" operator="equal">
      <formula>"Mercado Envios por conta do comprador"</formula>
    </cfRule>
  </conditionalFormatting>
  <conditionalFormatting sqref="V197:V205">
    <cfRule type="cellIs" priority="941" operator="equal">
      <formula>"Não faço envios"</formula>
    </cfRule>
  </conditionalFormatting>
  <conditionalFormatting sqref="V206">
    <cfRule type="cellIs" priority="986" operator="equal">
      <formula>"Mercado Envios por conta do comprador"</formula>
    </cfRule>
  </conditionalFormatting>
  <conditionalFormatting sqref="V207">
    <cfRule type="cellIs" priority="990" operator="equal">
      <formula>"Mercado Envios grátis"</formula>
    </cfRule>
  </conditionalFormatting>
  <conditionalFormatting sqref="V208">
    <cfRule type="cellIs" priority="995" operator="equal">
      <formula>"Mercado Envios por conta do comprador"</formula>
    </cfRule>
  </conditionalFormatting>
  <conditionalFormatting sqref="V209">
    <cfRule type="cellIs" priority="1000" operator="equal">
      <formula>"Não faço envios"</formula>
    </cfRule>
  </conditionalFormatting>
  <conditionalFormatting sqref="V210:V213">
    <cfRule type="cellIs" priority="1005" operator="equal">
      <formula>"Mercado Envios por conta do comprador"</formula>
    </cfRule>
  </conditionalFormatting>
  <conditionalFormatting sqref="V214">
    <cfRule type="cellIs" priority="1025" operator="equal">
      <formula>"Mercado Envios grátis"</formula>
    </cfRule>
  </conditionalFormatting>
  <conditionalFormatting sqref="V215:V218">
    <cfRule type="cellIs" priority="1030" operator="equal">
      <formula>"Mercado Envios por conta do comprador"</formula>
    </cfRule>
  </conditionalFormatting>
  <conditionalFormatting sqref="V219">
    <cfRule type="cellIs" priority="1050" operator="equal">
      <formula>"Mercado Envios grátis"</formula>
    </cfRule>
  </conditionalFormatting>
  <conditionalFormatting sqref="V220">
    <cfRule type="cellIs" priority="1055" operator="equal">
      <formula>"Não faço envios"</formula>
    </cfRule>
  </conditionalFormatting>
  <conditionalFormatting sqref="V221:V225">
    <cfRule type="cellIs" priority="1060" operator="equal">
      <formula>"Mercado Envios por conta do comprador"</formula>
    </cfRule>
  </conditionalFormatting>
  <conditionalFormatting sqref="V226:V227">
    <cfRule type="cellIs" priority="1084" operator="equal">
      <formula>"Mercado Envios grátis"</formula>
    </cfRule>
  </conditionalFormatting>
  <conditionalFormatting sqref="V228">
    <cfRule type="cellIs" priority="1094" operator="equal">
      <formula>"Mercado Envios por conta do comprador"</formula>
    </cfRule>
  </conditionalFormatting>
  <conditionalFormatting sqref="V229">
    <cfRule type="cellIs" priority="1099" operator="equal">
      <formula>"Mercado Envios grátis"</formula>
    </cfRule>
  </conditionalFormatting>
  <conditionalFormatting sqref="V230">
    <cfRule type="cellIs" priority="1104" operator="equal">
      <formula>"Não faço envios"</formula>
    </cfRule>
  </conditionalFormatting>
  <conditionalFormatting sqref="V231">
    <cfRule type="cellIs" priority="1109" operator="equal">
      <formula>"Mercado Envios por conta do comprador"</formula>
    </cfRule>
  </conditionalFormatting>
  <conditionalFormatting sqref="V232:V233">
    <cfRule type="cellIs" priority="1114" operator="equal">
      <formula>"Mercado Envios grátis"</formula>
    </cfRule>
  </conditionalFormatting>
  <conditionalFormatting sqref="V234:V236">
    <cfRule type="cellIs" priority="1123" operator="equal">
      <formula>"Mercado Envios por conta do comprador"</formula>
    </cfRule>
  </conditionalFormatting>
  <conditionalFormatting sqref="V237:V238">
    <cfRule type="cellIs" priority="1136" operator="equal">
      <formula>"Mercado Envios grátis"</formula>
    </cfRule>
  </conditionalFormatting>
  <conditionalFormatting sqref="V239:V243">
    <cfRule type="cellIs" priority="1144" operator="equal">
      <formula>"Mercado Envios por conta do comprador"</formula>
    </cfRule>
  </conditionalFormatting>
  <conditionalFormatting sqref="V244:V246">
    <cfRule type="cellIs" priority="1168" operator="equal">
      <formula>"Não faço envios"</formula>
    </cfRule>
  </conditionalFormatting>
  <conditionalFormatting sqref="V247:V249">
    <cfRule type="cellIs" priority="1183" operator="equal">
      <formula>"Mercado Envios por conta do comprador"</formula>
    </cfRule>
  </conditionalFormatting>
  <conditionalFormatting sqref="V250:V251">
    <cfRule type="cellIs" priority="1198" operator="equal">
      <formula>"Não faço envios"</formula>
    </cfRule>
  </conditionalFormatting>
  <conditionalFormatting sqref="V252">
    <cfRule type="cellIs" priority="1208" operator="equal">
      <formula>"Mercado Envios por conta do comprador"</formula>
    </cfRule>
  </conditionalFormatting>
  <conditionalFormatting sqref="V253:V255">
    <cfRule type="cellIs" priority="1213" operator="equal">
      <formula>"Não faço envios"</formula>
    </cfRule>
  </conditionalFormatting>
  <conditionalFormatting sqref="V256:V258">
    <cfRule type="cellIs" priority="1228" operator="equal">
      <formula>"Mercado Envios por conta do comprador"</formula>
    </cfRule>
  </conditionalFormatting>
  <conditionalFormatting sqref="V259:V261">
    <cfRule type="cellIs" priority="1242" operator="equal">
      <formula>"Mercado Envios grátis"</formula>
    </cfRule>
  </conditionalFormatting>
  <conditionalFormatting sqref="V262:V264">
    <cfRule type="cellIs" priority="1255" operator="equal">
      <formula>"Mercado Envios por conta do comprador"</formula>
    </cfRule>
  </conditionalFormatting>
  <conditionalFormatting sqref="V265">
    <cfRule type="cellIs" priority="1267" operator="equal">
      <formula>"Mercado Envios grátis"</formula>
    </cfRule>
  </conditionalFormatting>
  <conditionalFormatting sqref="V266:V270">
    <cfRule type="cellIs" priority="1271" operator="equal">
      <formula>"Mercado Envios por conta do comprador"</formula>
    </cfRule>
  </conditionalFormatting>
  <conditionalFormatting sqref="V271">
    <cfRule type="cellIs" priority="1291" operator="equal">
      <formula>"Mercado Envios grátis"</formula>
    </cfRule>
  </conditionalFormatting>
  <conditionalFormatting sqref="V272:V273">
    <cfRule type="cellIs" priority="1295" operator="equal">
      <formula>"Mercado Envios por conta do comprador"</formula>
    </cfRule>
  </conditionalFormatting>
  <conditionalFormatting sqref="V274:V276">
    <cfRule type="cellIs" priority="1303" operator="equal">
      <formula>"Mercado Envios grátis"</formula>
    </cfRule>
  </conditionalFormatting>
  <conditionalFormatting sqref="V277:V278">
    <cfRule type="cellIs" priority="1315" operator="equal">
      <formula>"Mercado Envios por conta do comprador"</formula>
    </cfRule>
  </conditionalFormatting>
  <conditionalFormatting sqref="V279:V280">
    <cfRule type="cellIs" priority="1323" operator="equal">
      <formula>"Não faço envios"</formula>
    </cfRule>
  </conditionalFormatting>
  <conditionalFormatting sqref="V281:V283">
    <cfRule type="cellIs" priority="1332" operator="equal">
      <formula>"Mercado Envios por conta do comprador"</formula>
    </cfRule>
  </conditionalFormatting>
  <conditionalFormatting sqref="V284:V298">
    <cfRule type="cellIs" priority="1347" operator="equal">
      <formula>"Não faço envios"</formula>
    </cfRule>
  </conditionalFormatting>
  <conditionalFormatting sqref="V299:V301">
    <cfRule type="cellIs" priority="1422" operator="equal">
      <formula>"Mercado Envios por conta do comprador"</formula>
    </cfRule>
  </conditionalFormatting>
  <conditionalFormatting sqref="V302:V309">
    <cfRule type="cellIs" priority="1437" operator="equal">
      <formula>"Não faço envios"</formula>
    </cfRule>
  </conditionalFormatting>
  <conditionalFormatting sqref="V310">
    <cfRule type="cellIs" priority="1477" operator="equal">
      <formula>"Frete grátis por conta própria"</formula>
    </cfRule>
  </conditionalFormatting>
  <conditionalFormatting sqref="V311">
    <cfRule type="cellIs" priority="1482" operator="equal">
      <formula>"Mercado Envios por conta do comprador"</formula>
    </cfRule>
  </conditionalFormatting>
  <conditionalFormatting sqref="V312:V313">
    <cfRule type="cellIs" priority="1487" operator="equal">
      <formula>"Não faço envios"</formula>
    </cfRule>
  </conditionalFormatting>
  <conditionalFormatting sqref="V314:V315">
    <cfRule type="cellIs" priority="1497" operator="equal">
      <formula>"Mercado Envios por conta do comprador"</formula>
    </cfRule>
  </conditionalFormatting>
  <conditionalFormatting sqref="V316:V319">
    <cfRule type="cellIs" priority="1507" operator="equal">
      <formula>"Não faço envios"</formula>
    </cfRule>
  </conditionalFormatting>
  <conditionalFormatting sqref="V320:V346">
    <cfRule type="cellIs" priority="1527" operator="equal">
      <formula>"Mercado Envios por conta do comprador"</formula>
    </cfRule>
  </conditionalFormatting>
  <conditionalFormatting sqref="V348:V357">
    <cfRule type="cellIs" priority="1666" operator="equal">
      <formula>"Mercado Envios por conta do comprador"</formula>
    </cfRule>
  </conditionalFormatting>
  <conditionalFormatting sqref="V358:V360">
    <cfRule type="cellIs" priority="1716" operator="equal">
      <formula>"Não faço envios"</formula>
    </cfRule>
  </conditionalFormatting>
  <conditionalFormatting sqref="V361">
    <cfRule type="cellIs" priority="1731" operator="equal">
      <formula>"Mercado Envios por conta do comprador"</formula>
    </cfRule>
  </conditionalFormatting>
  <conditionalFormatting sqref="V362">
    <cfRule type="cellIs" priority="1736" operator="equal">
      <formula>"Não faço envios"</formula>
    </cfRule>
  </conditionalFormatting>
  <conditionalFormatting sqref="V363:V364">
    <cfRule type="cellIs" priority="1741" operator="equal">
      <formula>"Mercado Envios por conta do comprador"</formula>
    </cfRule>
  </conditionalFormatting>
  <conditionalFormatting sqref="V365">
    <cfRule type="cellIs" priority="1751" operator="equal">
      <formula>"Não faço envios"</formula>
    </cfRule>
  </conditionalFormatting>
  <conditionalFormatting sqref="V366">
    <cfRule type="cellIs" priority="1755" operator="equal">
      <formula>"Mercado Envios por conta do comprador"</formula>
    </cfRule>
  </conditionalFormatting>
  <conditionalFormatting sqref="V367">
    <cfRule type="cellIs" priority="1759" operator="equal">
      <formula>"Não faço envios"</formula>
    </cfRule>
  </conditionalFormatting>
  <conditionalFormatting sqref="V368">
    <cfRule type="cellIs" priority="1763" operator="equal">
      <formula>"Mercado Envios por conta do comprador"</formula>
    </cfRule>
  </conditionalFormatting>
  <conditionalFormatting sqref="V369">
    <cfRule type="cellIs" priority="1767" operator="equal">
      <formula>"Envios por minha conta a cargo do comprador"</formula>
    </cfRule>
  </conditionalFormatting>
  <conditionalFormatting sqref="V370">
    <cfRule type="cellIs" priority="1771" operator="equal">
      <formula>"Não faço envios"</formula>
    </cfRule>
  </conditionalFormatting>
  <conditionalFormatting sqref="V371">
    <cfRule type="cellIs" priority="1775" operator="equal">
      <formula>"Frete grátis por conta própria"</formula>
    </cfRule>
  </conditionalFormatting>
  <conditionalFormatting sqref="V372">
    <cfRule type="cellIs" priority="1779" operator="equal">
      <formula>"Mercado Envios por conta do comprador"</formula>
    </cfRule>
  </conditionalFormatting>
  <conditionalFormatting sqref="V373">
    <cfRule type="cellIs" priority="1783" operator="equal">
      <formula>"Não faço envios"</formula>
    </cfRule>
  </conditionalFormatting>
  <conditionalFormatting sqref="V374:V377">
    <cfRule type="cellIs" priority="1787" operator="equal">
      <formula>"Mercado Envios por conta do comprador"</formula>
    </cfRule>
  </conditionalFormatting>
  <conditionalFormatting sqref="V378">
    <cfRule type="cellIs" priority="1803" operator="equal">
      <formula>"Não faço envios"</formula>
    </cfRule>
  </conditionalFormatting>
  <conditionalFormatting sqref="V379:V387">
    <cfRule type="cellIs" priority="1807" operator="equal">
      <formula>"Mercado Envios por conta do comprador"</formula>
    </cfRule>
  </conditionalFormatting>
  <conditionalFormatting sqref="V388">
    <cfRule type="cellIs" priority="1850" operator="equal">
      <formula>"Mercado Envios grátis"</formula>
    </cfRule>
  </conditionalFormatting>
  <conditionalFormatting sqref="V389:V390">
    <cfRule type="cellIs" priority="1854" operator="equal">
      <formula>"Mercado Envios por conta do comprador"</formula>
    </cfRule>
  </conditionalFormatting>
  <conditionalFormatting sqref="V391">
    <cfRule type="cellIs" priority="1864" operator="equal">
      <formula>"Mercado Envios grátis"</formula>
    </cfRule>
  </conditionalFormatting>
  <conditionalFormatting sqref="V392:V397">
    <cfRule type="cellIs" priority="1869" operator="equal">
      <formula>"Mercado Envios por conta do comprador"</formula>
    </cfRule>
  </conditionalFormatting>
  <conditionalFormatting sqref="V398">
    <cfRule type="cellIs" priority="1899" operator="equal">
      <formula>"Mercado Envios grátis"</formula>
    </cfRule>
  </conditionalFormatting>
  <conditionalFormatting sqref="V399:V400">
    <cfRule type="cellIs" priority="1904" operator="equal">
      <formula>"Não faço envios"</formula>
    </cfRule>
  </conditionalFormatting>
  <conditionalFormatting sqref="V401">
    <cfRule type="cellIs" priority="1914" operator="equal">
      <formula>"Mercado Envios por conta do comprador"</formula>
    </cfRule>
  </conditionalFormatting>
  <conditionalFormatting sqref="V402">
    <cfRule type="cellIs" priority="1919" operator="equal">
      <formula>"Não faço envios"</formula>
    </cfRule>
  </conditionalFormatting>
  <conditionalFormatting sqref="V403:V407">
    <cfRule type="cellIs" priority="1924" operator="equal">
      <formula>"Mercado Envios por conta do comprador"</formula>
    </cfRule>
  </conditionalFormatting>
  <conditionalFormatting sqref="V408:V411">
    <cfRule type="cellIs" priority="1949" operator="equal">
      <formula>"Não faço envios"</formula>
    </cfRule>
  </conditionalFormatting>
  <conditionalFormatting sqref="V412:V414">
    <cfRule type="cellIs" priority="1969" operator="equal">
      <formula>"Mercado Envios por conta do comprador"</formula>
    </cfRule>
  </conditionalFormatting>
  <conditionalFormatting sqref="V415">
    <cfRule type="cellIs" priority="1984" operator="equal">
      <formula>"Não faço envios"</formula>
    </cfRule>
  </conditionalFormatting>
  <conditionalFormatting sqref="V416:V422">
    <cfRule type="cellIs" priority="1988" operator="equal">
      <formula>"Mercado Envios por conta do comprador"</formula>
    </cfRule>
  </conditionalFormatting>
  <conditionalFormatting sqref="V423">
    <cfRule type="cellIs" priority="2022" operator="equal">
      <formula>"Não faço envios"</formula>
    </cfRule>
  </conditionalFormatting>
  <conditionalFormatting sqref="V424">
    <cfRule type="cellIs" priority="2026" operator="equal">
      <formula>"Mercado Envios grátis"</formula>
    </cfRule>
  </conditionalFormatting>
  <conditionalFormatting sqref="V425">
    <cfRule type="cellIs" priority="2031" operator="equal">
      <formula>"Mercado Envios por conta do comprador"</formula>
    </cfRule>
  </conditionalFormatting>
  <conditionalFormatting sqref="V426">
    <cfRule type="cellIs" priority="2036" operator="equal">
      <formula>"Não faço envios"</formula>
    </cfRule>
  </conditionalFormatting>
  <conditionalFormatting sqref="V427">
    <cfRule type="cellIs" priority="2041" operator="equal">
      <formula>"Mercado Envios por conta do comprador"</formula>
    </cfRule>
  </conditionalFormatting>
  <conditionalFormatting sqref="V428">
    <cfRule type="cellIs" priority="2045" operator="equal">
      <formula>"Mercado Envios grátis"</formula>
    </cfRule>
  </conditionalFormatting>
  <conditionalFormatting sqref="V429:V432">
    <cfRule type="cellIs" priority="2050" operator="equal">
      <formula>"Mercado Envios por conta do comprador"</formula>
    </cfRule>
  </conditionalFormatting>
  <conditionalFormatting sqref="V433">
    <cfRule type="cellIs" priority="2070" operator="equal">
      <formula>"Não faço envios"</formula>
    </cfRule>
  </conditionalFormatting>
  <conditionalFormatting sqref="V434">
    <cfRule type="cellIs" priority="2075" operator="equal">
      <formula>"Mercado Envios por conta do comprador"</formula>
    </cfRule>
  </conditionalFormatting>
  <conditionalFormatting sqref="V435">
    <cfRule type="cellIs" priority="2080" operator="equal">
      <formula>"Não faço envios"</formula>
    </cfRule>
  </conditionalFormatting>
  <conditionalFormatting sqref="V436:V439">
    <cfRule type="cellIs" priority="2085" operator="equal">
      <formula>"Mercado Envios por conta do comprador"</formula>
    </cfRule>
  </conditionalFormatting>
  <conditionalFormatting sqref="V440">
    <cfRule type="cellIs" priority="2105" operator="equal">
      <formula>"Mercado Envios grátis"</formula>
    </cfRule>
  </conditionalFormatting>
  <conditionalFormatting sqref="V441">
    <cfRule type="cellIs" priority="2110" operator="equal">
      <formula>"Não faço envios"</formula>
    </cfRule>
  </conditionalFormatting>
  <conditionalFormatting sqref="V442:V447">
    <cfRule type="cellIs" priority="2115" operator="equal">
      <formula>"Mercado Envios por conta do comprador"</formula>
    </cfRule>
  </conditionalFormatting>
  <conditionalFormatting sqref="V448">
    <cfRule type="cellIs" priority="2145" operator="equal">
      <formula>"Mercado Envios grátis"</formula>
    </cfRule>
  </conditionalFormatting>
  <conditionalFormatting sqref="V449:V456">
    <cfRule type="cellIs" priority="2150" operator="equal">
      <formula>"Mercado Envios por conta do comprador"</formula>
    </cfRule>
  </conditionalFormatting>
  <conditionalFormatting sqref="V457:V458">
    <cfRule type="cellIs" priority="2190" operator="equal">
      <formula>"Não faço envios"</formula>
    </cfRule>
  </conditionalFormatting>
  <conditionalFormatting sqref="V459:V462">
    <cfRule type="cellIs" priority="2200" operator="equal">
      <formula>"Mercado Envios por conta do comprador"</formula>
    </cfRule>
  </conditionalFormatting>
  <conditionalFormatting sqref="V463">
    <cfRule type="cellIs" priority="2220" operator="equal">
      <formula>"Mercado Envios grátis"</formula>
    </cfRule>
  </conditionalFormatting>
  <conditionalFormatting sqref="V464:V473">
    <cfRule type="cellIs" priority="2225" operator="equal">
      <formula>"Mercado Envios por conta do comprador"</formula>
    </cfRule>
  </conditionalFormatting>
  <conditionalFormatting sqref="V474">
    <cfRule type="cellIs" priority="2275" operator="equal">
      <formula>"Mercado Envios grátis"</formula>
    </cfRule>
  </conditionalFormatting>
  <conditionalFormatting sqref="V475:V479">
    <cfRule type="cellIs" priority="2280" operator="equal">
      <formula>"Não faço envios"</formula>
    </cfRule>
  </conditionalFormatting>
  <conditionalFormatting sqref="V480:V482">
    <cfRule type="cellIs" priority="2305" operator="equal">
      <formula>"Mercado Envios por conta do comprador"</formula>
    </cfRule>
  </conditionalFormatting>
  <conditionalFormatting sqref="V483">
    <cfRule type="cellIs" priority="2320" operator="equal">
      <formula>"Mercado Envios grátis"</formula>
    </cfRule>
  </conditionalFormatting>
  <conditionalFormatting sqref="V484">
    <cfRule type="cellIs" priority="2325" operator="equal">
      <formula>"Não faço envios"</formula>
    </cfRule>
  </conditionalFormatting>
  <conditionalFormatting sqref="V485:V488">
    <cfRule type="cellIs" priority="2330" operator="equal">
      <formula>"Mercado Envios por conta do comprador"</formula>
    </cfRule>
  </conditionalFormatting>
  <conditionalFormatting sqref="V489">
    <cfRule type="cellIs" priority="2350" operator="equal">
      <formula>"Não faço envios"</formula>
    </cfRule>
  </conditionalFormatting>
  <conditionalFormatting sqref="V490:V494">
    <cfRule type="cellIs" priority="2355" operator="equal">
      <formula>"Mercado Envios por conta do comprador"</formula>
    </cfRule>
  </conditionalFormatting>
  <conditionalFormatting sqref="V495">
    <cfRule type="cellIs" priority="2380" operator="equal">
      <formula>"Não faço envios"</formula>
    </cfRule>
  </conditionalFormatting>
  <conditionalFormatting sqref="V496">
    <cfRule type="cellIs" priority="2385" operator="equal">
      <formula>"Mercado Envios grátis"</formula>
    </cfRule>
  </conditionalFormatting>
  <conditionalFormatting sqref="V497:V499">
    <cfRule type="cellIs" priority="2390" operator="equal">
      <formula>"Mercado Envios por conta do comprador"</formula>
    </cfRule>
  </conditionalFormatting>
  <conditionalFormatting sqref="V500">
    <cfRule type="cellIs" priority="2404" operator="equal">
      <formula>"Mercado Envios grátis"</formula>
    </cfRule>
  </conditionalFormatting>
  <conditionalFormatting sqref="V501:V504">
    <cfRule type="cellIs" priority="2409" operator="equal">
      <formula>"Mercado Envios por conta do comprador"</formula>
    </cfRule>
  </conditionalFormatting>
  <conditionalFormatting sqref="V505">
    <cfRule type="cellIs" priority="2429" operator="equal">
      <formula>"Mercado Envios grátis"</formula>
    </cfRule>
  </conditionalFormatting>
  <conditionalFormatting sqref="V506">
    <cfRule type="cellIs" priority="2434" operator="equal">
      <formula>"Mercado Envios por conta do comprador"</formula>
    </cfRule>
  </conditionalFormatting>
  <conditionalFormatting sqref="V507">
    <cfRule type="cellIs" priority="2439" operator="equal">
      <formula>"Não faço envios"</formula>
    </cfRule>
  </conditionalFormatting>
  <conditionalFormatting sqref="V508:V509">
    <cfRule type="cellIs" priority="2444" operator="equal">
      <formula>"Mercado Envios por conta do comprador"</formula>
    </cfRule>
  </conditionalFormatting>
  <conditionalFormatting sqref="V510:V511">
    <cfRule type="cellIs" priority="2454" operator="equal">
      <formula>"Mercado Envios grátis"</formula>
    </cfRule>
  </conditionalFormatting>
  <conditionalFormatting sqref="V512:V513">
    <cfRule type="cellIs" priority="2463" operator="equal">
      <formula>"Mercado Envios por conta do comprador"</formula>
    </cfRule>
  </conditionalFormatting>
  <conditionalFormatting sqref="V514">
    <cfRule type="cellIs" priority="2473" operator="equal">
      <formula>"Mercado Envios grátis"</formula>
    </cfRule>
  </conditionalFormatting>
  <conditionalFormatting sqref="V515:V520">
    <cfRule type="cellIs" priority="2477" operator="equal">
      <formula>"Mercado Envios por conta do comprador"</formula>
    </cfRule>
  </conditionalFormatting>
  <conditionalFormatting sqref="V521:V524">
    <cfRule type="cellIs" priority="2507" operator="equal">
      <formula>"Não faço envios"</formula>
    </cfRule>
  </conditionalFormatting>
  <conditionalFormatting sqref="V525:V541">
    <cfRule type="cellIs" priority="2527" operator="equal">
      <formula>"Mercado Envios por conta do comprador"</formula>
    </cfRule>
  </conditionalFormatting>
  <conditionalFormatting sqref="V542">
    <cfRule type="cellIs" priority="2612" operator="equal">
      <formula>"Não faço envios"</formula>
    </cfRule>
  </conditionalFormatting>
  <conditionalFormatting sqref="V543:V545">
    <cfRule type="cellIs" priority="2617" operator="equal">
      <formula>"Mercado Envios por conta do comprador"</formula>
    </cfRule>
  </conditionalFormatting>
  <conditionalFormatting sqref="V546:V548">
    <cfRule type="cellIs" priority="2632" operator="equal">
      <formula>"Mercado Envios grátis"</formula>
    </cfRule>
  </conditionalFormatting>
  <conditionalFormatting sqref="V549:V552">
    <cfRule type="cellIs" priority="2646" operator="equal">
      <formula>"Mercado Envios por conta do comprador"</formula>
    </cfRule>
  </conditionalFormatting>
  <conditionalFormatting sqref="V553">
    <cfRule type="cellIs" priority="2666" operator="equal">
      <formula>"Mercado Envios grátis"</formula>
    </cfRule>
  </conditionalFormatting>
  <conditionalFormatting sqref="V554:V556">
    <cfRule type="cellIs" priority="2671" operator="equal">
      <formula>"Mercado Envios por conta do comprador"</formula>
    </cfRule>
  </conditionalFormatting>
  <conditionalFormatting sqref="V557:V559">
    <cfRule type="cellIs" priority="2686" operator="equal">
      <formula>"Não faço envios"</formula>
    </cfRule>
  </conditionalFormatting>
  <conditionalFormatting sqref="V560">
    <cfRule type="cellIs" priority="2701" operator="equal">
      <formula>"Mercado Envios por conta do comprador"</formula>
    </cfRule>
  </conditionalFormatting>
  <conditionalFormatting sqref="V561">
    <cfRule type="cellIs" priority="2706" operator="equal">
      <formula>"Mercado Envios grátis"</formula>
    </cfRule>
  </conditionalFormatting>
  <conditionalFormatting sqref="V562">
    <cfRule type="cellIs" priority="2711" operator="equal">
      <formula>"Mercado Envios por conta do comprador"</formula>
    </cfRule>
  </conditionalFormatting>
  <conditionalFormatting sqref="V563">
    <cfRule type="cellIs" priority="2716" operator="equal">
      <formula>"Não faço envios"</formula>
    </cfRule>
  </conditionalFormatting>
  <conditionalFormatting sqref="V564:V569">
    <cfRule type="cellIs" priority="2720" operator="equal">
      <formula>"Mercado Envios por conta do comprador"</formula>
    </cfRule>
  </conditionalFormatting>
  <conditionalFormatting sqref="V570">
    <cfRule type="cellIs" priority="2750" operator="equal">
      <formula>"Mercado Envios grátis"</formula>
    </cfRule>
  </conditionalFormatting>
  <conditionalFormatting sqref="V571:V576">
    <cfRule type="cellIs" priority="2755" operator="equal">
      <formula>"Mercado Envios por conta do comprador"</formula>
    </cfRule>
  </conditionalFormatting>
  <conditionalFormatting sqref="V577:V578">
    <cfRule type="cellIs" priority="2785" operator="equal">
      <formula>"Não faço envios"</formula>
    </cfRule>
  </conditionalFormatting>
  <conditionalFormatting sqref="V579">
    <cfRule type="cellIs" priority="2795" operator="equal">
      <formula>"Mercado Envios por conta do comprador"</formula>
    </cfRule>
  </conditionalFormatting>
  <conditionalFormatting sqref="V580:V585">
    <cfRule type="cellIs" priority="2800" operator="equal">
      <formula>"Não faço envios"</formula>
    </cfRule>
  </conditionalFormatting>
  <conditionalFormatting sqref="V586:V587">
    <cfRule type="cellIs" priority="2830" operator="equal">
      <formula>"Mercado Envios por conta do comprador"</formula>
    </cfRule>
  </conditionalFormatting>
  <conditionalFormatting sqref="V588:V589">
    <cfRule type="cellIs" priority="2840" operator="equal">
      <formula>"Não faço envios"</formula>
    </cfRule>
  </conditionalFormatting>
  <conditionalFormatting sqref="V590">
    <cfRule type="cellIs" priority="2849" operator="equal">
      <formula>"Mercado Envios por conta do comprador"</formula>
    </cfRule>
  </conditionalFormatting>
  <conditionalFormatting sqref="V591">
    <cfRule type="cellIs" priority="2853" operator="equal">
      <formula>"Mercado Envios grátis"</formula>
    </cfRule>
  </conditionalFormatting>
  <conditionalFormatting sqref="V592:V595">
    <cfRule type="cellIs" priority="2858" operator="equal">
      <formula>"Não faço envios"</formula>
    </cfRule>
  </conditionalFormatting>
  <conditionalFormatting sqref="V596">
    <cfRule type="cellIs" priority="2878" operator="equal">
      <formula>"Mercado Envios por conta do comprador"</formula>
    </cfRule>
  </conditionalFormatting>
  <conditionalFormatting sqref="V597">
    <cfRule type="cellIs" priority="2883" operator="equal">
      <formula>"Não faço envios"</formula>
    </cfRule>
  </conditionalFormatting>
  <conditionalFormatting sqref="V598">
    <cfRule type="cellIs" priority="2888" operator="equal">
      <formula>"Mercado Envios por conta do comprador"</formula>
    </cfRule>
  </conditionalFormatting>
  <conditionalFormatting sqref="V599">
    <cfRule type="cellIs" priority="2892" operator="equal">
      <formula>"Mercado Envios grátis"</formula>
    </cfRule>
  </conditionalFormatting>
  <conditionalFormatting sqref="V600:V601">
    <cfRule type="cellIs" priority="2897" operator="equal">
      <formula>"Não faço envios"</formula>
    </cfRule>
  </conditionalFormatting>
  <conditionalFormatting sqref="V602:V603">
    <cfRule type="cellIs" priority="2907" operator="equal">
      <formula>"Mercado Envios por conta do comprador"</formula>
    </cfRule>
  </conditionalFormatting>
  <conditionalFormatting sqref="V604">
    <cfRule type="cellIs" priority="2917" operator="equal">
      <formula>"Mercado Envios grátis"</formula>
    </cfRule>
  </conditionalFormatting>
  <conditionalFormatting sqref="V605">
    <cfRule type="cellIs" priority="2922" operator="equal">
      <formula>"Mercado Envios por conta do comprador"</formula>
    </cfRule>
  </conditionalFormatting>
  <conditionalFormatting sqref="V606">
    <cfRule type="cellIs" priority="2927" operator="equal">
      <formula>"Mercado Envios grátis"</formula>
    </cfRule>
  </conditionalFormatting>
  <conditionalFormatting sqref="V607:V614">
    <cfRule type="cellIs" priority="2932" operator="equal">
      <formula>"Mercado Envios por conta do comprador"</formula>
    </cfRule>
  </conditionalFormatting>
  <conditionalFormatting sqref="V615">
    <cfRule type="cellIs" priority="2972" operator="equal">
      <formula>"Mercado Envios grátis"</formula>
    </cfRule>
  </conditionalFormatting>
  <conditionalFormatting sqref="V616:V617">
    <cfRule type="cellIs" priority="2977" operator="equal">
      <formula>"Mercado Envios por conta do comprador"</formula>
    </cfRule>
  </conditionalFormatting>
  <conditionalFormatting sqref="V618">
    <cfRule type="cellIs" priority="2987" operator="equal">
      <formula>"Não faço envios"</formula>
    </cfRule>
  </conditionalFormatting>
  <conditionalFormatting sqref="V619:V620">
    <cfRule type="cellIs" priority="2992" operator="equal">
      <formula>"Mercado Envios por conta do comprador"</formula>
    </cfRule>
  </conditionalFormatting>
  <conditionalFormatting sqref="V621:V622">
    <cfRule type="cellIs" priority="3002" operator="equal">
      <formula>"Não faço envios"</formula>
    </cfRule>
  </conditionalFormatting>
  <conditionalFormatting sqref="V623:V624">
    <cfRule type="cellIs" priority="3012" operator="equal">
      <formula>"Mercado Envios grátis"</formula>
    </cfRule>
  </conditionalFormatting>
  <conditionalFormatting sqref="V625:V629">
    <cfRule type="cellIs" priority="3021" operator="equal">
      <formula>"Não faço envios"</formula>
    </cfRule>
  </conditionalFormatting>
  <conditionalFormatting sqref="V630:V632">
    <cfRule type="cellIs" priority="3046" operator="equal">
      <formula>"Mercado Envios por conta do comprador"</formula>
    </cfRule>
  </conditionalFormatting>
  <conditionalFormatting sqref="V633:V637">
    <cfRule type="cellIs" priority="3061" operator="equal">
      <formula>"Não faço envios"</formula>
    </cfRule>
  </conditionalFormatting>
  <conditionalFormatting sqref="V638">
    <cfRule type="cellIs" priority="3086" operator="equal">
      <formula>"Mercado Envios por conta do comprador"</formula>
    </cfRule>
  </conditionalFormatting>
  <conditionalFormatting sqref="V639:V641">
    <cfRule type="cellIs" priority="3091" operator="equal">
      <formula>"Não faço envios"</formula>
    </cfRule>
  </conditionalFormatting>
  <conditionalFormatting sqref="V642:V645">
    <cfRule type="cellIs" priority="3106" operator="equal">
      <formula>"Mercado Envios por conta do comprador"</formula>
    </cfRule>
  </conditionalFormatting>
  <conditionalFormatting sqref="V646">
    <cfRule type="cellIs" priority="3125" operator="equal">
      <formula>"Mercado Envios grátis"</formula>
    </cfRule>
  </conditionalFormatting>
  <conditionalFormatting sqref="V647:V648">
    <cfRule type="cellIs" priority="3129" operator="equal">
      <formula>"Mercado Envios por conta do comprador"</formula>
    </cfRule>
  </conditionalFormatting>
  <conditionalFormatting sqref="V649">
    <cfRule type="cellIs" priority="3137" operator="equal">
      <formula>"Mercado Envios grátis"</formula>
    </cfRule>
  </conditionalFormatting>
  <conditionalFormatting sqref="V650">
    <cfRule type="cellIs" priority="3141" operator="equal">
      <formula>"Mercado Envios por conta do comprador"</formula>
    </cfRule>
  </conditionalFormatting>
  <conditionalFormatting sqref="V651">
    <cfRule type="cellIs" priority="3145" operator="equal">
      <formula>"Mercado Envios grátis"</formula>
    </cfRule>
  </conditionalFormatting>
  <conditionalFormatting sqref="V652:V653">
    <cfRule type="cellIs" priority="3149" operator="equal">
      <formula>"Mercado Envios por conta do comprador"</formula>
    </cfRule>
  </conditionalFormatting>
  <conditionalFormatting sqref="V654">
    <cfRule type="cellIs" priority="3157" operator="equal">
      <formula>"Não faço envios"</formula>
    </cfRule>
  </conditionalFormatting>
  <conditionalFormatting sqref="V655:V661">
    <cfRule type="cellIs" priority="3161" operator="equal">
      <formula>"Mercado Envios por conta do comprador"</formula>
    </cfRule>
  </conditionalFormatting>
  <conditionalFormatting sqref="V662">
    <cfRule type="cellIs" priority="3189" operator="equal">
      <formula>"Não faço envios"</formula>
    </cfRule>
  </conditionalFormatting>
  <conditionalFormatting sqref="V663">
    <cfRule type="cellIs" priority="3193" operator="equal">
      <formula>"Mercado Envios por conta do comprador"</formula>
    </cfRule>
  </conditionalFormatting>
  <conditionalFormatting sqref="V664">
    <cfRule type="cellIs" priority="3198" operator="equal">
      <formula>"Mercado Envios grátis"</formula>
    </cfRule>
  </conditionalFormatting>
  <conditionalFormatting sqref="V665">
    <cfRule type="cellIs" priority="3202" operator="equal">
      <formula>"Mercado Envios por conta do comprador"</formula>
    </cfRule>
  </conditionalFormatting>
  <conditionalFormatting sqref="V666">
    <cfRule type="cellIs" priority="3206" operator="equal">
      <formula>"Mercado Envios grátis"</formula>
    </cfRule>
  </conditionalFormatting>
  <conditionalFormatting sqref="V667">
    <cfRule type="cellIs" priority="3210" operator="equal">
      <formula>"Mercado Envios por conta do comprador"</formula>
    </cfRule>
  </conditionalFormatting>
  <conditionalFormatting sqref="V668">
    <cfRule type="cellIs" priority="3214" operator="equal">
      <formula>"Não faço envios"</formula>
    </cfRule>
  </conditionalFormatting>
  <conditionalFormatting sqref="V669:V671">
    <cfRule type="cellIs" priority="3218" operator="equal">
      <formula>"Mercado Envios por conta do comprador"</formula>
    </cfRule>
  </conditionalFormatting>
  <conditionalFormatting sqref="V672">
    <cfRule type="cellIs" priority="3231" operator="equal">
      <formula>"Não faço envios"</formula>
    </cfRule>
  </conditionalFormatting>
  <conditionalFormatting sqref="V673:V675">
    <cfRule type="cellIs" priority="3236" operator="equal">
      <formula>"Mercado Envios por conta do comprador"</formula>
    </cfRule>
  </conditionalFormatting>
  <conditionalFormatting sqref="V676:V683">
    <cfRule type="cellIs" priority="3251" operator="equal">
      <formula>"Não faço envios"</formula>
    </cfRule>
  </conditionalFormatting>
  <conditionalFormatting sqref="V684">
    <cfRule type="cellIs" priority="3291" operator="equal">
      <formula>"Mercado Envios por conta do comprador"</formula>
    </cfRule>
  </conditionalFormatting>
  <conditionalFormatting sqref="V685">
    <cfRule type="cellIs" priority="3296" operator="equal">
      <formula>"Não faço envios"</formula>
    </cfRule>
  </conditionalFormatting>
  <conditionalFormatting sqref="V686">
    <cfRule type="cellIs" priority="3301" operator="equal">
      <formula>"Mercado Envios por conta do comprador"</formula>
    </cfRule>
  </conditionalFormatting>
  <conditionalFormatting sqref="V687">
    <cfRule type="cellIs" priority="3306" operator="equal">
      <formula>"Não faço envios"</formula>
    </cfRule>
  </conditionalFormatting>
  <conditionalFormatting sqref="V688">
    <cfRule type="cellIs" priority="3311" operator="equal">
      <formula>"Frete grátis por conta própria"</formula>
    </cfRule>
  </conditionalFormatting>
  <conditionalFormatting sqref="V689:V691">
    <cfRule type="cellIs" priority="3316" operator="equal">
      <formula>"Não faço envios"</formula>
    </cfRule>
  </conditionalFormatting>
  <conditionalFormatting sqref="V692">
    <cfRule type="cellIs" priority="3331" operator="equal">
      <formula>"Frete grátis por conta própria"</formula>
    </cfRule>
  </conditionalFormatting>
  <conditionalFormatting sqref="V693:V709">
    <cfRule type="cellIs" priority="3336" operator="equal">
      <formula>"Não faço envios"</formula>
    </cfRule>
  </conditionalFormatting>
  <conditionalFormatting sqref="V710:V756">
    <cfRule type="cellIs" priority="3421" operator="equal">
      <formula>"Mercado Envios por conta do comprador"</formula>
    </cfRule>
  </conditionalFormatting>
  <conditionalFormatting sqref="V757">
    <cfRule type="cellIs" priority="3652" operator="equal">
      <formula>"Mercado Envios grátis"</formula>
    </cfRule>
  </conditionalFormatting>
  <conditionalFormatting sqref="V758:V760">
    <cfRule type="cellIs" priority="3657" operator="equal">
      <formula>"Mercado Envios por conta do comprador"</formula>
    </cfRule>
  </conditionalFormatting>
  <conditionalFormatting sqref="V761">
    <cfRule type="cellIs" priority="3672" operator="equal">
      <formula>"Mercado Envios grátis"</formula>
    </cfRule>
  </conditionalFormatting>
  <conditionalFormatting sqref="V762:V764">
    <cfRule type="cellIs" priority="3676" operator="equal">
      <formula>"Mercado Envios por conta do comprador"</formula>
    </cfRule>
  </conditionalFormatting>
  <conditionalFormatting sqref="V765">
    <cfRule type="cellIs" priority="3691" operator="equal">
      <formula>"Não faço envios"</formula>
    </cfRule>
  </conditionalFormatting>
  <conditionalFormatting sqref="V766:V768">
    <cfRule type="cellIs" priority="3696" operator="equal">
      <formula>"Mercado Envios por conta do comprador"</formula>
    </cfRule>
  </conditionalFormatting>
  <conditionalFormatting sqref="V769">
    <cfRule type="cellIs" priority="3711" operator="equal">
      <formula>"Não faço envios"</formula>
    </cfRule>
  </conditionalFormatting>
  <conditionalFormatting sqref="V770:V773">
    <cfRule type="cellIs" priority="3716" operator="equal">
      <formula>"Mercado Envios por conta do comprador"</formula>
    </cfRule>
  </conditionalFormatting>
  <conditionalFormatting sqref="V774:V777">
    <cfRule type="cellIs" priority="3736" operator="equal">
      <formula>"Não faço envios"</formula>
    </cfRule>
  </conditionalFormatting>
  <conditionalFormatting sqref="V778:V780">
    <cfRule type="cellIs" priority="3756" operator="equal">
      <formula>"Mercado Envios por conta do comprador"</formula>
    </cfRule>
  </conditionalFormatting>
  <conditionalFormatting sqref="V781:V782">
    <cfRule type="cellIs" priority="3771" operator="equal">
      <formula>"Mercado Envios grátis"</formula>
    </cfRule>
  </conditionalFormatting>
  <conditionalFormatting sqref="V783">
    <cfRule type="cellIs" priority="3780" operator="equal">
      <formula>"Não faço envios"</formula>
    </cfRule>
  </conditionalFormatting>
  <conditionalFormatting sqref="V784">
    <cfRule type="cellIs" priority="3784" operator="equal">
      <formula>"Mercado Envios por conta do comprador"</formula>
    </cfRule>
  </conditionalFormatting>
  <conditionalFormatting sqref="V785">
    <cfRule type="cellIs" priority="3788" operator="equal">
      <formula>"Mercado Envios grátis"</formula>
    </cfRule>
  </conditionalFormatting>
  <conditionalFormatting sqref="V786">
    <cfRule type="cellIs" priority="3792" operator="equal">
      <formula>"Mercado Envios por conta do comprador"</formula>
    </cfRule>
  </conditionalFormatting>
  <conditionalFormatting sqref="V787">
    <cfRule type="cellIs" priority="3796" operator="equal">
      <formula>"Não faço envios"</formula>
    </cfRule>
  </conditionalFormatting>
  <conditionalFormatting sqref="V788">
    <cfRule type="cellIs" priority="3800" operator="equal">
      <formula>"Mercado Envios por conta do comprador"</formula>
    </cfRule>
  </conditionalFormatting>
  <conditionalFormatting sqref="V789">
    <cfRule type="cellIs" priority="3804" operator="equal">
      <formula>"Não faço envios"</formula>
    </cfRule>
  </conditionalFormatting>
  <conditionalFormatting sqref="V790:V791">
    <cfRule type="cellIs" priority="3808" operator="equal">
      <formula>"Mercado Envios por conta do comprador"</formula>
    </cfRule>
  </conditionalFormatting>
  <conditionalFormatting sqref="V792:V794">
    <cfRule type="cellIs" priority="3816" operator="equal">
      <formula>"Não faço envios"</formula>
    </cfRule>
  </conditionalFormatting>
  <conditionalFormatting sqref="V795:V796">
    <cfRule type="cellIs" priority="3828" operator="equal">
      <formula>"Mercado Envios por conta do comprador"</formula>
    </cfRule>
  </conditionalFormatting>
  <conditionalFormatting sqref="V797">
    <cfRule type="cellIs" priority="3836" operator="equal">
      <formula>"Não faço envios"</formula>
    </cfRule>
  </conditionalFormatting>
  <conditionalFormatting sqref="V798">
    <cfRule type="cellIs" priority="3840" operator="equal">
      <formula>"Mercado Envios por conta do comprador"</formula>
    </cfRule>
  </conditionalFormatting>
  <conditionalFormatting sqref="V799:V801">
    <cfRule type="cellIs" priority="3844" operator="equal">
      <formula>"Mercado Envios grátis"</formula>
    </cfRule>
  </conditionalFormatting>
  <conditionalFormatting sqref="V802:V814">
    <cfRule type="cellIs" priority="3856" operator="equal">
      <formula>"Mercado Envios por conta do comprador"</formula>
    </cfRule>
  </conditionalFormatting>
  <conditionalFormatting sqref="V815:V817">
    <cfRule type="cellIs" priority="3908" operator="equal">
      <formula>"Não faço envios"</formula>
    </cfRule>
  </conditionalFormatting>
  <conditionalFormatting sqref="V818:V819">
    <cfRule type="cellIs" priority="3920" operator="equal">
      <formula>"Mercado Envios por conta do comprador"</formula>
    </cfRule>
  </conditionalFormatting>
  <conditionalFormatting sqref="V820:V821">
    <cfRule type="cellIs" priority="3928" operator="equal">
      <formula>"Não faço envios"</formula>
    </cfRule>
  </conditionalFormatting>
  <conditionalFormatting sqref="V822">
    <cfRule type="cellIs" priority="3936" operator="equal">
      <formula>"Mercado Envios grátis"</formula>
    </cfRule>
  </conditionalFormatting>
  <conditionalFormatting sqref="V823">
    <cfRule type="cellIs" priority="3940" operator="equal">
      <formula>"Não faço envios"</formula>
    </cfRule>
  </conditionalFormatting>
  <conditionalFormatting sqref="V824">
    <cfRule type="cellIs" priority="3944" operator="equal">
      <formula>"Mercado Envios grátis"</formula>
    </cfRule>
  </conditionalFormatting>
  <conditionalFormatting sqref="V825">
    <cfRule type="cellIs" priority="3948" operator="equal">
      <formula>"Mercado Envios por conta do comprador"</formula>
    </cfRule>
  </conditionalFormatting>
  <conditionalFormatting sqref="V826">
    <cfRule type="cellIs" priority="3952" operator="equal">
      <formula>"Mercado Envios grátis"</formula>
    </cfRule>
  </conditionalFormatting>
  <conditionalFormatting sqref="V827">
    <cfRule type="cellIs" priority="3956" operator="equal">
      <formula>"Mercado Envios por conta do comprador"</formula>
    </cfRule>
  </conditionalFormatting>
  <conditionalFormatting sqref="V828">
    <cfRule type="cellIs" priority="3960" operator="equal">
      <formula>"Não faço envios"</formula>
    </cfRule>
  </conditionalFormatting>
  <conditionalFormatting sqref="V829:V833">
    <cfRule type="cellIs" priority="3964" operator="equal">
      <formula>"Mercado Envios por conta do comprador"</formula>
    </cfRule>
  </conditionalFormatting>
  <conditionalFormatting sqref="V834:V836">
    <cfRule type="cellIs" priority="3984" operator="equal">
      <formula>"Não faço envios"</formula>
    </cfRule>
  </conditionalFormatting>
  <conditionalFormatting sqref="V837">
    <cfRule type="cellIs" priority="3996" operator="equal">
      <formula>"Mercado Envios por conta do comprador"</formula>
    </cfRule>
  </conditionalFormatting>
  <conditionalFormatting sqref="V838">
    <cfRule type="cellIs" priority="4000" operator="equal">
      <formula>"Não faço envios"</formula>
    </cfRule>
  </conditionalFormatting>
  <conditionalFormatting sqref="V839:V840">
    <cfRule type="cellIs" priority="4004" operator="equal">
      <formula>"Frete grátis por conta própria"</formula>
    </cfRule>
  </conditionalFormatting>
  <conditionalFormatting sqref="V841:V842">
    <cfRule type="cellIs" priority="4012" operator="equal">
      <formula>"Mercado Envios por conta do comprador"</formula>
    </cfRule>
  </conditionalFormatting>
  <conditionalFormatting sqref="V843">
    <cfRule type="cellIs" priority="4020" operator="equal">
      <formula>"Não faço envios"</formula>
    </cfRule>
  </conditionalFormatting>
  <conditionalFormatting sqref="V844:V851">
    <cfRule type="cellIs" priority="4024" operator="equal">
      <formula>"Mercado Envios por conta do comprador"</formula>
    </cfRule>
  </conditionalFormatting>
  <conditionalFormatting sqref="V852">
    <cfRule type="cellIs" priority="4056" operator="equal">
      <formula>"Não faço envios"</formula>
    </cfRule>
  </conditionalFormatting>
  <conditionalFormatting sqref="V853:V855">
    <cfRule type="cellIs" priority="4060" operator="equal">
      <formula>"Mercado Envios por conta do comprador"</formula>
    </cfRule>
  </conditionalFormatting>
  <conditionalFormatting sqref="V856">
    <cfRule type="cellIs" priority="4072" operator="equal">
      <formula>"Não faço envios"</formula>
    </cfRule>
  </conditionalFormatting>
  <conditionalFormatting sqref="V857">
    <cfRule type="cellIs" priority="4076" operator="equal">
      <formula>"Mercado Envios por conta do comprador"</formula>
    </cfRule>
  </conditionalFormatting>
  <conditionalFormatting sqref="V858:V859">
    <cfRule type="cellIs" priority="4080" operator="equal">
      <formula>"Não faço envios"</formula>
    </cfRule>
  </conditionalFormatting>
  <conditionalFormatting sqref="V860">
    <cfRule type="cellIs" priority="4088" operator="equal">
      <formula>"Mercado Envios por conta do comprador"</formula>
    </cfRule>
  </conditionalFormatting>
  <conditionalFormatting sqref="V861">
    <cfRule type="cellIs" priority="4092" operator="equal">
      <formula>"Mercado Envios grátis"</formula>
    </cfRule>
  </conditionalFormatting>
  <conditionalFormatting sqref="V862:V866">
    <cfRule type="cellIs" priority="4096" operator="equal">
      <formula>"Mercado Envios por conta do comprador"</formula>
    </cfRule>
  </conditionalFormatting>
  <conditionalFormatting sqref="V867">
    <cfRule type="cellIs" priority="4116" operator="equal">
      <formula>"Mercado Envios grátis"</formula>
    </cfRule>
  </conditionalFormatting>
  <conditionalFormatting sqref="V868">
    <cfRule type="cellIs" priority="4120" operator="equal">
      <formula>"Mercado Envios por conta do comprador"</formula>
    </cfRule>
  </conditionalFormatting>
  <conditionalFormatting sqref="V869">
    <cfRule type="cellIs" priority="4124" operator="equal">
      <formula>"Mercado Envios grátis"</formula>
    </cfRule>
  </conditionalFormatting>
  <conditionalFormatting sqref="V870">
    <cfRule type="cellIs" priority="4128" operator="equal">
      <formula>"Não faço envios"</formula>
    </cfRule>
  </conditionalFormatting>
  <conditionalFormatting sqref="V871">
    <cfRule type="cellIs" priority="4132" operator="equal">
      <formula>"Mercado Envios por conta do comprador"</formula>
    </cfRule>
  </conditionalFormatting>
  <conditionalFormatting sqref="V872:V873">
    <cfRule type="cellIs" priority="4136" operator="equal">
      <formula>"Não faço envios"</formula>
    </cfRule>
  </conditionalFormatting>
  <conditionalFormatting sqref="V874:V895">
    <cfRule type="cellIs" priority="4144" operator="equal">
      <formula>"Mercado Envios por conta do comprador"</formula>
    </cfRule>
  </conditionalFormatting>
  <conditionalFormatting sqref="V896">
    <cfRule type="cellIs" priority="4235" operator="equal">
      <formula>"Não faço envios"</formula>
    </cfRule>
  </conditionalFormatting>
  <conditionalFormatting sqref="V897:V898">
    <cfRule type="cellIs" priority="4240" operator="equal">
      <formula>"Mercado Envios por conta do comprador"</formula>
    </cfRule>
  </conditionalFormatting>
  <conditionalFormatting sqref="V899:V900">
    <cfRule type="cellIs" priority="4250" operator="equal">
      <formula>"Mercado Envios grátis"</formula>
    </cfRule>
  </conditionalFormatting>
  <conditionalFormatting sqref="V901">
    <cfRule type="cellIs" priority="4259" operator="equal">
      <formula>"Mercado Envios por conta do comprador"</formula>
    </cfRule>
  </conditionalFormatting>
  <conditionalFormatting sqref="V902">
    <cfRule type="cellIs" priority="4264" operator="equal">
      <formula>"Mercado Envios grátis"</formula>
    </cfRule>
  </conditionalFormatting>
  <conditionalFormatting sqref="V903">
    <cfRule type="cellIs" priority="4269" operator="equal">
      <formula>"Não faço envios"</formula>
    </cfRule>
  </conditionalFormatting>
  <conditionalFormatting sqref="V904:V905">
    <cfRule type="cellIs" priority="4274" operator="equal">
      <formula>"Mercado Envios por conta do comprador"</formula>
    </cfRule>
  </conditionalFormatting>
  <conditionalFormatting sqref="V906">
    <cfRule type="cellIs" priority="4284" operator="equal">
      <formula>"Não faço envios"</formula>
    </cfRule>
  </conditionalFormatting>
  <conditionalFormatting sqref="V907">
    <cfRule type="cellIs" priority="4289" operator="equal">
      <formula>"Mercado Envios por conta do comprador"</formula>
    </cfRule>
  </conditionalFormatting>
  <conditionalFormatting sqref="V908">
    <cfRule type="cellIs" priority="4294" operator="equal">
      <formula>"Mercado Envios grátis"</formula>
    </cfRule>
  </conditionalFormatting>
  <conditionalFormatting sqref="V909">
    <cfRule type="cellIs" priority="4299" operator="equal">
      <formula>"Não faço envios"</formula>
    </cfRule>
  </conditionalFormatting>
  <conditionalFormatting sqref="V910">
    <cfRule type="cellIs" priority="4304" operator="equal">
      <formula>"Mercado Envios por conta do comprador"</formula>
    </cfRule>
  </conditionalFormatting>
  <conditionalFormatting sqref="V911">
    <cfRule type="cellIs" priority="4309" operator="equal">
      <formula>"Não faço envios"</formula>
    </cfRule>
  </conditionalFormatting>
  <conditionalFormatting sqref="V912:V914">
    <cfRule type="cellIs" priority="4313" operator="equal">
      <formula>"Mercado Envios grátis"</formula>
    </cfRule>
  </conditionalFormatting>
  <conditionalFormatting sqref="V915:V919">
    <cfRule type="cellIs" priority="4328" operator="equal">
      <formula>"Não faço envios"</formula>
    </cfRule>
  </conditionalFormatting>
  <conditionalFormatting sqref="V920:V921">
    <cfRule type="cellIs" priority="4352" operator="equal">
      <formula>"Mercado Envios por conta do comprador"</formula>
    </cfRule>
  </conditionalFormatting>
  <conditionalFormatting sqref="V922">
    <cfRule type="cellIs" priority="4360" operator="equal">
      <formula>"Mercado Envios grátis"</formula>
    </cfRule>
  </conditionalFormatting>
  <conditionalFormatting sqref="V923">
    <cfRule type="cellIs" priority="4364" operator="equal">
      <formula>"Mercado Envios por conta do comprador"</formula>
    </cfRule>
  </conditionalFormatting>
  <conditionalFormatting sqref="V924:V930">
    <cfRule type="cellIs" priority="4369" operator="equal">
      <formula>"Não faço envios"</formula>
    </cfRule>
  </conditionalFormatting>
  <conditionalFormatting sqref="V931:V934">
    <cfRule type="cellIs" priority="4404" operator="equal">
      <formula>"Mercado Envios por conta do comprador"</formula>
    </cfRule>
  </conditionalFormatting>
  <conditionalFormatting sqref="V935">
    <cfRule type="cellIs" priority="4424" operator="equal">
      <formula>"Não faço envios"</formula>
    </cfRule>
  </conditionalFormatting>
  <conditionalFormatting sqref="V936">
    <cfRule type="cellIs" priority="4429" operator="equal">
      <formula>"Mercado Envios por conta do comprador"</formula>
    </cfRule>
  </conditionalFormatting>
  <conditionalFormatting sqref="V937:V939">
    <cfRule type="cellIs" priority="4434" operator="equal">
      <formula>"Não faço envios"</formula>
    </cfRule>
  </conditionalFormatting>
  <conditionalFormatting sqref="V940:V942">
    <cfRule type="cellIs" priority="4449" operator="equal">
      <formula>"Mercado Envios por conta do comprador"</formula>
    </cfRule>
  </conditionalFormatting>
  <conditionalFormatting sqref="V943:V944">
    <cfRule type="cellIs" priority="4464" operator="equal">
      <formula>"Não faço envios"</formula>
    </cfRule>
  </conditionalFormatting>
  <conditionalFormatting sqref="V945">
    <cfRule type="cellIs" priority="4473" operator="equal">
      <formula>"Mercado Envios por conta do comprador"</formula>
    </cfRule>
  </conditionalFormatting>
  <conditionalFormatting sqref="V946:V947">
    <cfRule type="cellIs" priority="4478" operator="equal">
      <formula>"Não faço envios"</formula>
    </cfRule>
  </conditionalFormatting>
  <conditionalFormatting sqref="V948:V949">
    <cfRule type="cellIs" priority="4488" operator="equal">
      <formula>"Mercado Envios por conta do comprador"</formula>
    </cfRule>
  </conditionalFormatting>
  <conditionalFormatting sqref="V950:V951">
    <cfRule type="cellIs" priority="4498" operator="equal">
      <formula>"Não faço envios"</formula>
    </cfRule>
  </conditionalFormatting>
  <conditionalFormatting sqref="V952">
    <cfRule type="cellIs" priority="4507" operator="equal">
      <formula>"Mercado Envios por conta do comprador"</formula>
    </cfRule>
  </conditionalFormatting>
  <conditionalFormatting sqref="V953:V958">
    <cfRule type="cellIs" priority="4512" operator="equal">
      <formula>"Não faço envios"</formula>
    </cfRule>
  </conditionalFormatting>
  <conditionalFormatting sqref="W6:W9">
    <cfRule type="cellIs" priority="4" operator="equal">
      <formula>"Clássico"</formula>
    </cfRule>
  </conditionalFormatting>
  <conditionalFormatting sqref="W10:W11">
    <cfRule type="cellIs" priority="22" operator="equal">
      <formula>"Premium"</formula>
    </cfRule>
  </conditionalFormatting>
  <conditionalFormatting sqref="W12:W17">
    <cfRule type="cellIs" priority="32" operator="equal">
      <formula>"Clássico"</formula>
    </cfRule>
  </conditionalFormatting>
  <conditionalFormatting sqref="W18">
    <cfRule type="cellIs" priority="62" operator="equal">
      <formula>"Premium"</formula>
    </cfRule>
  </conditionalFormatting>
  <conditionalFormatting sqref="W19:W29">
    <cfRule type="cellIs" priority="66" operator="equal">
      <formula>"Clássico"</formula>
    </cfRule>
  </conditionalFormatting>
  <conditionalFormatting sqref="W30">
    <cfRule type="cellIs" priority="121" operator="equal">
      <formula>"Premium"</formula>
    </cfRule>
  </conditionalFormatting>
  <conditionalFormatting sqref="W31">
    <cfRule type="cellIs" priority="125" operator="equal">
      <formula>"Clássico"</formula>
    </cfRule>
  </conditionalFormatting>
  <conditionalFormatting sqref="W32">
    <cfRule type="cellIs" priority="130" operator="equal">
      <formula>"Premium"</formula>
    </cfRule>
  </conditionalFormatting>
  <conditionalFormatting sqref="W33:W36">
    <cfRule type="cellIs" priority="135" operator="equal">
      <formula>"Clássico"</formula>
    </cfRule>
  </conditionalFormatting>
  <conditionalFormatting sqref="W37">
    <cfRule type="cellIs" priority="155" operator="equal">
      <formula>"Premium"</formula>
    </cfRule>
  </conditionalFormatting>
  <conditionalFormatting sqref="W38:W46">
    <cfRule type="cellIs" priority="160" operator="equal">
      <formula>"Clássico"</formula>
    </cfRule>
  </conditionalFormatting>
  <conditionalFormatting sqref="W47:W49">
    <cfRule type="cellIs" priority="205" operator="equal">
      <formula>"Premium"</formula>
    </cfRule>
  </conditionalFormatting>
  <conditionalFormatting sqref="W50:W59">
    <cfRule type="cellIs" priority="219" operator="equal">
      <formula>"Clássico"</formula>
    </cfRule>
  </conditionalFormatting>
  <conditionalFormatting sqref="W60">
    <cfRule type="cellIs" priority="266" operator="equal">
      <formula>"Premium"</formula>
    </cfRule>
  </conditionalFormatting>
  <conditionalFormatting sqref="W61:W63">
    <cfRule type="cellIs" priority="271" operator="equal">
      <formula>"Clássico"</formula>
    </cfRule>
  </conditionalFormatting>
  <conditionalFormatting sqref="W64">
    <cfRule type="cellIs" priority="286" operator="equal">
      <formula>"Premium"</formula>
    </cfRule>
  </conditionalFormatting>
  <conditionalFormatting sqref="W65:W66">
    <cfRule type="cellIs" priority="291" operator="equal">
      <formula>"Clássico"</formula>
    </cfRule>
  </conditionalFormatting>
  <conditionalFormatting sqref="W67">
    <cfRule type="cellIs" priority="300" operator="equal">
      <formula>"Premium"</formula>
    </cfRule>
  </conditionalFormatting>
  <conditionalFormatting sqref="W68:W89">
    <cfRule type="cellIs" priority="305" operator="equal">
      <formula>"Clássico"</formula>
    </cfRule>
  </conditionalFormatting>
  <conditionalFormatting sqref="W90">
    <cfRule type="cellIs" priority="413" operator="equal">
      <formula>"Premium"</formula>
    </cfRule>
  </conditionalFormatting>
  <conditionalFormatting sqref="W91:W97">
    <cfRule type="cellIs" priority="418" operator="equal">
      <formula>"Clássico"</formula>
    </cfRule>
  </conditionalFormatting>
  <conditionalFormatting sqref="W98:W99">
    <cfRule type="cellIs" priority="453" operator="equal">
      <formula>"Premium"</formula>
    </cfRule>
  </conditionalFormatting>
  <conditionalFormatting sqref="W100:W111">
    <cfRule type="cellIs" priority="463" operator="equal">
      <formula>"Clássico"</formula>
    </cfRule>
  </conditionalFormatting>
  <conditionalFormatting sqref="W112">
    <cfRule type="cellIs" priority="522" operator="equal">
      <formula>"Premium"</formula>
    </cfRule>
  </conditionalFormatting>
  <conditionalFormatting sqref="W113:W137">
    <cfRule type="cellIs" priority="527" operator="equal">
      <formula>"Clássico"</formula>
    </cfRule>
  </conditionalFormatting>
  <conditionalFormatting sqref="W138">
    <cfRule type="cellIs" priority="650" operator="equal">
      <formula>"Premium"</formula>
    </cfRule>
  </conditionalFormatting>
  <conditionalFormatting sqref="W139:W147">
    <cfRule type="cellIs" priority="655" operator="equal">
      <formula>"Clássico"</formula>
    </cfRule>
  </conditionalFormatting>
  <conditionalFormatting sqref="W148">
    <cfRule type="cellIs" priority="699" operator="equal">
      <formula>"Premium"</formula>
    </cfRule>
  </conditionalFormatting>
  <conditionalFormatting sqref="W149:W181">
    <cfRule type="cellIs" priority="704" operator="equal">
      <formula>"Clássico"</formula>
    </cfRule>
  </conditionalFormatting>
  <conditionalFormatting sqref="W182:W183">
    <cfRule type="cellIs" priority="868" operator="equal">
      <formula>"Premium"</formula>
    </cfRule>
  </conditionalFormatting>
  <conditionalFormatting sqref="W184">
    <cfRule type="cellIs" priority="877" operator="equal">
      <formula>"Clássico"</formula>
    </cfRule>
  </conditionalFormatting>
  <conditionalFormatting sqref="W185:W186">
    <cfRule type="cellIs" priority="882" operator="equal">
      <formula>"Premium"</formula>
    </cfRule>
  </conditionalFormatting>
  <conditionalFormatting sqref="W187">
    <cfRule type="cellIs" priority="892" operator="equal">
      <formula>"Clássico"</formula>
    </cfRule>
  </conditionalFormatting>
  <conditionalFormatting sqref="W188:W189">
    <cfRule type="cellIs" priority="897" operator="equal">
      <formula>"Premium"</formula>
    </cfRule>
  </conditionalFormatting>
  <conditionalFormatting sqref="W190:W213">
    <cfRule type="cellIs" priority="907" operator="equal">
      <formula>"Clássico"</formula>
    </cfRule>
  </conditionalFormatting>
  <conditionalFormatting sqref="W214">
    <cfRule type="cellIs" priority="1026" operator="equal">
      <formula>"Premium"</formula>
    </cfRule>
  </conditionalFormatting>
  <conditionalFormatting sqref="W215:W218">
    <cfRule type="cellIs" priority="1031" operator="equal">
      <formula>"Clássico"</formula>
    </cfRule>
  </conditionalFormatting>
  <conditionalFormatting sqref="W219">
    <cfRule type="cellIs" priority="1051" operator="equal">
      <formula>"Premium"</formula>
    </cfRule>
  </conditionalFormatting>
  <conditionalFormatting sqref="W220:W225">
    <cfRule type="cellIs" priority="1056" operator="equal">
      <formula>"Clássico"</formula>
    </cfRule>
  </conditionalFormatting>
  <conditionalFormatting sqref="W226">
    <cfRule type="cellIs" priority="1085" operator="equal">
      <formula>"Premium"</formula>
    </cfRule>
  </conditionalFormatting>
  <conditionalFormatting sqref="W227:W231">
    <cfRule type="cellIs" priority="1090" operator="equal">
      <formula>"Clássico"</formula>
    </cfRule>
  </conditionalFormatting>
  <conditionalFormatting sqref="W232:W233">
    <cfRule type="cellIs" priority="1115" operator="equal">
      <formula>"Premium"</formula>
    </cfRule>
  </conditionalFormatting>
  <conditionalFormatting sqref="W234:W236">
    <cfRule type="cellIs" priority="1124" operator="equal">
      <formula>"Clássico"</formula>
    </cfRule>
  </conditionalFormatting>
  <conditionalFormatting sqref="W237:W238">
    <cfRule type="cellIs" priority="1137" operator="equal">
      <formula>"Premium"</formula>
    </cfRule>
  </conditionalFormatting>
  <conditionalFormatting sqref="W239:W259">
    <cfRule type="cellIs" priority="1145" operator="equal">
      <formula>"Clássico"</formula>
    </cfRule>
  </conditionalFormatting>
  <conditionalFormatting sqref="W260:W261">
    <cfRule type="cellIs" priority="1247" operator="equal">
      <formula>"Premium"</formula>
    </cfRule>
  </conditionalFormatting>
  <conditionalFormatting sqref="W262:W264">
    <cfRule type="cellIs" priority="1256" operator="equal">
      <formula>"Clássico"</formula>
    </cfRule>
  </conditionalFormatting>
  <conditionalFormatting sqref="W265">
    <cfRule type="cellIs" priority="1268" operator="equal">
      <formula>"Premium"</formula>
    </cfRule>
  </conditionalFormatting>
  <conditionalFormatting sqref="W266:W273">
    <cfRule type="cellIs" priority="1272" operator="equal">
      <formula>"Clássico"</formula>
    </cfRule>
  </conditionalFormatting>
  <conditionalFormatting sqref="W274:W276">
    <cfRule type="cellIs" priority="1304" operator="equal">
      <formula>"Premium"</formula>
    </cfRule>
  </conditionalFormatting>
  <conditionalFormatting sqref="W277:W281">
    <cfRule type="cellIs" priority="1316" operator="equal">
      <formula>"Clássico"</formula>
    </cfRule>
  </conditionalFormatting>
  <conditionalFormatting sqref="W282">
    <cfRule type="cellIs" priority="1338" operator="equal">
      <formula>"Premium"</formula>
    </cfRule>
  </conditionalFormatting>
  <conditionalFormatting sqref="W283">
    <cfRule type="cellIs" priority="1343" operator="equal">
      <formula>"Clássico"</formula>
    </cfRule>
  </conditionalFormatting>
  <conditionalFormatting sqref="W284:W291">
    <cfRule type="cellIs" priority="1348" operator="equal">
      <formula>"Premium"</formula>
    </cfRule>
  </conditionalFormatting>
  <conditionalFormatting sqref="W292:W295">
    <cfRule type="cellIs" priority="1388" operator="equal">
      <formula>"Clássico"</formula>
    </cfRule>
  </conditionalFormatting>
  <conditionalFormatting sqref="W296:W297">
    <cfRule type="cellIs" priority="1408" operator="equal">
      <formula>"Premium"</formula>
    </cfRule>
  </conditionalFormatting>
  <conditionalFormatting sqref="W298">
    <cfRule type="cellIs" priority="1418" operator="equal">
      <formula>"Clássico"</formula>
    </cfRule>
  </conditionalFormatting>
  <conditionalFormatting sqref="W299:W300">
    <cfRule type="cellIs" priority="1423" operator="equal">
      <formula>"Premium"</formula>
    </cfRule>
  </conditionalFormatting>
  <conditionalFormatting sqref="W301:W302">
    <cfRule type="cellIs" priority="1433" operator="equal">
      <formula>"Clássico"</formula>
    </cfRule>
  </conditionalFormatting>
  <conditionalFormatting sqref="W303">
    <cfRule type="cellIs" priority="1443" operator="equal">
      <formula>"Premium"</formula>
    </cfRule>
  </conditionalFormatting>
  <conditionalFormatting sqref="W304:W306">
    <cfRule type="cellIs" priority="1448" operator="equal">
      <formula>"Clássico"</formula>
    </cfRule>
  </conditionalFormatting>
  <conditionalFormatting sqref="W307">
    <cfRule type="cellIs" priority="1463" operator="equal">
      <formula>"Premium"</formula>
    </cfRule>
  </conditionalFormatting>
  <conditionalFormatting sqref="W308">
    <cfRule type="cellIs" priority="1468" operator="equal">
      <formula>"Clássico"</formula>
    </cfRule>
  </conditionalFormatting>
  <conditionalFormatting sqref="W309:W310">
    <cfRule type="cellIs" priority="1473" operator="equal">
      <formula>"Premium"</formula>
    </cfRule>
  </conditionalFormatting>
  <conditionalFormatting sqref="W311:W312">
    <cfRule type="cellIs" priority="1483" operator="equal">
      <formula>"Clássico"</formula>
    </cfRule>
  </conditionalFormatting>
  <conditionalFormatting sqref="W313:W315">
    <cfRule type="cellIs" priority="1493" operator="equal">
      <formula>"Premium"</formula>
    </cfRule>
  </conditionalFormatting>
  <conditionalFormatting sqref="W316">
    <cfRule type="cellIs" priority="1508" operator="equal">
      <formula>"Clássico"</formula>
    </cfRule>
  </conditionalFormatting>
  <conditionalFormatting sqref="W317:W319">
    <cfRule type="cellIs" priority="1513" operator="equal">
      <formula>"Premium"</formula>
    </cfRule>
  </conditionalFormatting>
  <conditionalFormatting sqref="W320">
    <cfRule type="cellIs" priority="1528" operator="equal">
      <formula>"Clássico"</formula>
    </cfRule>
  </conditionalFormatting>
  <conditionalFormatting sqref="W321:W322">
    <cfRule type="cellIs" priority="1533" operator="equal">
      <formula>"Premium"</formula>
    </cfRule>
  </conditionalFormatting>
  <conditionalFormatting sqref="W323">
    <cfRule type="cellIs" priority="1543" operator="equal">
      <formula>"Clássico"</formula>
    </cfRule>
  </conditionalFormatting>
  <conditionalFormatting sqref="W324">
    <cfRule type="cellIs" priority="1548" operator="equal">
      <formula>"Premium"</formula>
    </cfRule>
  </conditionalFormatting>
  <conditionalFormatting sqref="W325:W326">
    <cfRule type="cellIs" priority="1553" operator="equal">
      <formula>"Clássico"</formula>
    </cfRule>
  </conditionalFormatting>
  <conditionalFormatting sqref="W327:W328">
    <cfRule type="cellIs" priority="1563" operator="equal">
      <formula>"Premium"</formula>
    </cfRule>
  </conditionalFormatting>
  <conditionalFormatting sqref="W329:W332">
    <cfRule type="cellIs" priority="1573" operator="equal">
      <formula>"Clássico"</formula>
    </cfRule>
  </conditionalFormatting>
  <conditionalFormatting sqref="W333:W334">
    <cfRule type="cellIs" priority="1593" operator="equal">
      <formula>"Premium"</formula>
    </cfRule>
  </conditionalFormatting>
  <conditionalFormatting sqref="W335:W337">
    <cfRule type="cellIs" priority="1603" operator="equal">
      <formula>"Clássico"</formula>
    </cfRule>
  </conditionalFormatting>
  <conditionalFormatting sqref="W338:W340">
    <cfRule type="cellIs" priority="1618" operator="equal">
      <formula>"Premium"</formula>
    </cfRule>
  </conditionalFormatting>
  <conditionalFormatting sqref="W341:W342">
    <cfRule type="cellIs" priority="1633" operator="equal">
      <formula>"Clássico"</formula>
    </cfRule>
  </conditionalFormatting>
  <conditionalFormatting sqref="W343">
    <cfRule type="cellIs" priority="1643" operator="equal">
      <formula>"Premium"</formula>
    </cfRule>
  </conditionalFormatting>
  <conditionalFormatting sqref="W344">
    <cfRule type="cellIs" priority="1648" operator="equal">
      <formula>"Clássico"</formula>
    </cfRule>
  </conditionalFormatting>
  <conditionalFormatting sqref="W345">
    <cfRule type="cellIs" priority="1653" operator="equal">
      <formula>"Premium"</formula>
    </cfRule>
  </conditionalFormatting>
  <conditionalFormatting sqref="W346">
    <cfRule type="cellIs" priority="1658" operator="equal">
      <formula>"Clássico"</formula>
    </cfRule>
  </conditionalFormatting>
  <conditionalFormatting sqref="W347">
    <cfRule type="cellIs" priority="1662" operator="equal">
      <formula>"Premium"</formula>
    </cfRule>
  </conditionalFormatting>
  <conditionalFormatting sqref="W348:W349">
    <cfRule type="cellIs" priority="1667" operator="equal">
      <formula>"Clássico"</formula>
    </cfRule>
  </conditionalFormatting>
  <conditionalFormatting sqref="W350">
    <cfRule type="cellIs" priority="1677" operator="equal">
      <formula>"Premium"</formula>
    </cfRule>
  </conditionalFormatting>
  <conditionalFormatting sqref="W351">
    <cfRule type="cellIs" priority="1682" operator="equal">
      <formula>"Clássico"</formula>
    </cfRule>
  </conditionalFormatting>
  <conditionalFormatting sqref="W352">
    <cfRule type="cellIs" priority="1687" operator="equal">
      <formula>"Premium"</formula>
    </cfRule>
  </conditionalFormatting>
  <conditionalFormatting sqref="W353:W354">
    <cfRule type="cellIs" priority="1692" operator="equal">
      <formula>"Clássico"</formula>
    </cfRule>
  </conditionalFormatting>
  <conditionalFormatting sqref="W355">
    <cfRule type="cellIs" priority="1702" operator="equal">
      <formula>"Premium"</formula>
    </cfRule>
  </conditionalFormatting>
  <conditionalFormatting sqref="W356">
    <cfRule type="cellIs" priority="1707" operator="equal">
      <formula>"Clássico"</formula>
    </cfRule>
  </conditionalFormatting>
  <conditionalFormatting sqref="W357:W358">
    <cfRule type="cellIs" priority="1712" operator="equal">
      <formula>"Premium"</formula>
    </cfRule>
  </conditionalFormatting>
  <conditionalFormatting sqref="W359:W362">
    <cfRule type="cellIs" priority="1722" operator="equal">
      <formula>"Clássico"</formula>
    </cfRule>
  </conditionalFormatting>
  <conditionalFormatting sqref="W363">
    <cfRule type="cellIs" priority="1742" operator="equal">
      <formula>"Premium"</formula>
    </cfRule>
  </conditionalFormatting>
  <conditionalFormatting sqref="W364:W367">
    <cfRule type="cellIs" priority="1747" operator="equal">
      <formula>"Clássico"</formula>
    </cfRule>
  </conditionalFormatting>
  <conditionalFormatting sqref="W368:W371">
    <cfRule type="cellIs" priority="1764" operator="equal">
      <formula>"Premium"</formula>
    </cfRule>
  </conditionalFormatting>
  <conditionalFormatting sqref="W372:W374">
    <cfRule type="cellIs" priority="1780" operator="equal">
      <formula>"Clássico"</formula>
    </cfRule>
  </conditionalFormatting>
  <conditionalFormatting sqref="W375">
    <cfRule type="cellIs" priority="1792" operator="equal">
      <formula>"Premium"</formula>
    </cfRule>
  </conditionalFormatting>
  <conditionalFormatting sqref="W376:W377">
    <cfRule type="cellIs" priority="1796" operator="equal">
      <formula>"Clássico"</formula>
    </cfRule>
  </conditionalFormatting>
  <conditionalFormatting sqref="W378">
    <cfRule type="cellIs" priority="1804" operator="equal">
      <formula>"Premium"</formula>
    </cfRule>
  </conditionalFormatting>
  <conditionalFormatting sqref="W379:W387">
    <cfRule type="cellIs" priority="1808" operator="equal">
      <formula>"Clássico"</formula>
    </cfRule>
  </conditionalFormatting>
  <conditionalFormatting sqref="W388">
    <cfRule type="cellIs" priority="1851" operator="equal">
      <formula>"Premium"</formula>
    </cfRule>
  </conditionalFormatting>
  <conditionalFormatting sqref="W389:W390">
    <cfRule type="cellIs" priority="1855" operator="equal">
      <formula>"Clássico"</formula>
    </cfRule>
  </conditionalFormatting>
  <conditionalFormatting sqref="W391">
    <cfRule type="cellIs" priority="1865" operator="equal">
      <formula>"Premium"</formula>
    </cfRule>
  </conditionalFormatting>
  <conditionalFormatting sqref="W392:W423">
    <cfRule type="cellIs" priority="1870" operator="equal">
      <formula>"Clássico"</formula>
    </cfRule>
  </conditionalFormatting>
  <conditionalFormatting sqref="W424">
    <cfRule type="cellIs" priority="2027" operator="equal">
      <formula>"Premium"</formula>
    </cfRule>
  </conditionalFormatting>
  <conditionalFormatting sqref="W425:W427">
    <cfRule type="cellIs" priority="2032" operator="equal">
      <formula>"Clássico"</formula>
    </cfRule>
  </conditionalFormatting>
  <conditionalFormatting sqref="W428">
    <cfRule type="cellIs" priority="2046" operator="equal">
      <formula>"Premium"</formula>
    </cfRule>
  </conditionalFormatting>
  <conditionalFormatting sqref="W429:W439">
    <cfRule type="cellIs" priority="2051" operator="equal">
      <formula>"Clássico"</formula>
    </cfRule>
  </conditionalFormatting>
  <conditionalFormatting sqref="W440">
    <cfRule type="cellIs" priority="2106" operator="equal">
      <formula>"Premium"</formula>
    </cfRule>
  </conditionalFormatting>
  <conditionalFormatting sqref="W441:W442">
    <cfRule type="cellIs" priority="2111" operator="equal">
      <formula>"Clássico"</formula>
    </cfRule>
  </conditionalFormatting>
  <conditionalFormatting sqref="W443">
    <cfRule type="cellIs" priority="2121" operator="equal">
      <formula>"Premium"</formula>
    </cfRule>
  </conditionalFormatting>
  <conditionalFormatting sqref="W444:W462">
    <cfRule type="cellIs" priority="2126" operator="equal">
      <formula>"Clássico"</formula>
    </cfRule>
  </conditionalFormatting>
  <conditionalFormatting sqref="W463">
    <cfRule type="cellIs" priority="2221" operator="equal">
      <formula>"Premium"</formula>
    </cfRule>
  </conditionalFormatting>
  <conditionalFormatting sqref="W464:W474">
    <cfRule type="cellIs" priority="2226" operator="equal">
      <formula>"Clássico"</formula>
    </cfRule>
  </conditionalFormatting>
  <conditionalFormatting sqref="W475">
    <cfRule type="cellIs" priority="2281" operator="equal">
      <formula>"Premium"</formula>
    </cfRule>
  </conditionalFormatting>
  <conditionalFormatting sqref="W476:W483">
    <cfRule type="cellIs" priority="2286" operator="equal">
      <formula>"Clássico"</formula>
    </cfRule>
  </conditionalFormatting>
  <conditionalFormatting sqref="W484">
    <cfRule type="cellIs" priority="2326" operator="equal">
      <formula>"Premium"</formula>
    </cfRule>
  </conditionalFormatting>
  <conditionalFormatting sqref="W485:W495">
    <cfRule type="cellIs" priority="2331" operator="equal">
      <formula>"Clássico"</formula>
    </cfRule>
  </conditionalFormatting>
  <conditionalFormatting sqref="W496">
    <cfRule type="cellIs" priority="2386" operator="equal">
      <formula>"Premium"</formula>
    </cfRule>
  </conditionalFormatting>
  <conditionalFormatting sqref="W497:W510">
    <cfRule type="cellIs" priority="2391" operator="equal">
      <formula>"Clássico"</formula>
    </cfRule>
  </conditionalFormatting>
  <conditionalFormatting sqref="W511">
    <cfRule type="cellIs" priority="2459" operator="equal">
      <formula>"Premium"</formula>
    </cfRule>
  </conditionalFormatting>
  <conditionalFormatting sqref="W512:W546">
    <cfRule type="cellIs" priority="2464" operator="equal">
      <formula>"Clássico"</formula>
    </cfRule>
  </conditionalFormatting>
  <conditionalFormatting sqref="W547:W548">
    <cfRule type="cellIs" priority="2638" operator="equal">
      <formula>"Premium"</formula>
    </cfRule>
  </conditionalFormatting>
  <conditionalFormatting sqref="W549:W552">
    <cfRule type="cellIs" priority="2647" operator="equal">
      <formula>"Clássico"</formula>
    </cfRule>
  </conditionalFormatting>
  <conditionalFormatting sqref="W553">
    <cfRule type="cellIs" priority="2667" operator="equal">
      <formula>"Premium"</formula>
    </cfRule>
  </conditionalFormatting>
  <conditionalFormatting sqref="W554:W560">
    <cfRule type="cellIs" priority="2672" operator="equal">
      <formula>"Clássico"</formula>
    </cfRule>
  </conditionalFormatting>
  <conditionalFormatting sqref="W561">
    <cfRule type="cellIs" priority="2707" operator="equal">
      <formula>"Premium"</formula>
    </cfRule>
  </conditionalFormatting>
  <conditionalFormatting sqref="W562:W569">
    <cfRule type="cellIs" priority="2712" operator="equal">
      <formula>"Clássico"</formula>
    </cfRule>
  </conditionalFormatting>
  <conditionalFormatting sqref="W570">
    <cfRule type="cellIs" priority="2751" operator="equal">
      <formula>"Premium"</formula>
    </cfRule>
  </conditionalFormatting>
  <conditionalFormatting sqref="W571:W590">
    <cfRule type="cellIs" priority="2756" operator="equal">
      <formula>"Clássico"</formula>
    </cfRule>
  </conditionalFormatting>
  <conditionalFormatting sqref="W591">
    <cfRule type="cellIs" priority="2854" operator="equal">
      <formula>"Premium"</formula>
    </cfRule>
  </conditionalFormatting>
  <conditionalFormatting sqref="W592:W596">
    <cfRule type="cellIs" priority="2859" operator="equal">
      <formula>"Clássico"</formula>
    </cfRule>
  </conditionalFormatting>
  <conditionalFormatting sqref="W597">
    <cfRule type="cellIs" priority="2884" operator="equal">
      <formula>"Premium"</formula>
    </cfRule>
  </conditionalFormatting>
  <conditionalFormatting sqref="W598:W603">
    <cfRule type="cellIs" priority="2889" operator="equal">
      <formula>"Clássico"</formula>
    </cfRule>
  </conditionalFormatting>
  <conditionalFormatting sqref="W604">
    <cfRule type="cellIs" priority="2918" operator="equal">
      <formula>"Premium"</formula>
    </cfRule>
  </conditionalFormatting>
  <conditionalFormatting sqref="W605:W614">
    <cfRule type="cellIs" priority="2923" operator="equal">
      <formula>"Clássico"</formula>
    </cfRule>
  </conditionalFormatting>
  <conditionalFormatting sqref="W615">
    <cfRule type="cellIs" priority="2973" operator="equal">
      <formula>"Premium"</formula>
    </cfRule>
  </conditionalFormatting>
  <conditionalFormatting sqref="W616:W623">
    <cfRule type="cellIs" priority="2978" operator="equal">
      <formula>"Clássico"</formula>
    </cfRule>
  </conditionalFormatting>
  <conditionalFormatting sqref="W624">
    <cfRule type="cellIs" priority="3017" operator="equal">
      <formula>"Premium"</formula>
    </cfRule>
  </conditionalFormatting>
  <conditionalFormatting sqref="W625:W645">
    <cfRule type="cellIs" priority="3022" operator="equal">
      <formula>"Clássico"</formula>
    </cfRule>
  </conditionalFormatting>
  <conditionalFormatting sqref="W646">
    <cfRule type="cellIs" priority="3126" operator="equal">
      <formula>"Premium"</formula>
    </cfRule>
  </conditionalFormatting>
  <conditionalFormatting sqref="W647:W648">
    <cfRule type="cellIs" priority="3130" operator="equal">
      <formula>"Clássico"</formula>
    </cfRule>
  </conditionalFormatting>
  <conditionalFormatting sqref="W649">
    <cfRule type="cellIs" priority="3138" operator="equal">
      <formula>"Premium"</formula>
    </cfRule>
  </conditionalFormatting>
  <conditionalFormatting sqref="W650:W663">
    <cfRule type="cellIs" priority="3142" operator="equal">
      <formula>"Clássico"</formula>
    </cfRule>
  </conditionalFormatting>
  <conditionalFormatting sqref="W664">
    <cfRule type="cellIs" priority="3199" operator="equal">
      <formula>"Premium"</formula>
    </cfRule>
  </conditionalFormatting>
  <conditionalFormatting sqref="W665:W673">
    <cfRule type="cellIs" priority="3203" operator="equal">
      <formula>"Clássico"</formula>
    </cfRule>
  </conditionalFormatting>
  <conditionalFormatting sqref="W674:W676">
    <cfRule type="cellIs" priority="3242" operator="equal">
      <formula>"Premium"</formula>
    </cfRule>
  </conditionalFormatting>
  <conditionalFormatting sqref="W677">
    <cfRule type="cellIs" priority="3257" operator="equal">
      <formula>"Clássico"</formula>
    </cfRule>
  </conditionalFormatting>
  <conditionalFormatting sqref="W678">
    <cfRule type="cellIs" priority="3262" operator="equal">
      <formula>"Premium"</formula>
    </cfRule>
  </conditionalFormatting>
  <conditionalFormatting sqref="W679">
    <cfRule type="cellIs" priority="3267" operator="equal">
      <formula>"Clássico"</formula>
    </cfRule>
  </conditionalFormatting>
  <conditionalFormatting sqref="W680">
    <cfRule type="cellIs" priority="3272" operator="equal">
      <formula>"Premium"</formula>
    </cfRule>
  </conditionalFormatting>
  <conditionalFormatting sqref="W681:W684">
    <cfRule type="cellIs" priority="3277" operator="equal">
      <formula>"Clássico"</formula>
    </cfRule>
  </conditionalFormatting>
  <conditionalFormatting sqref="W685">
    <cfRule type="cellIs" priority="3297" operator="equal">
      <formula>"Premium"</formula>
    </cfRule>
  </conditionalFormatting>
  <conditionalFormatting sqref="W686:W687">
    <cfRule type="cellIs" priority="3302" operator="equal">
      <formula>"Clássico"</formula>
    </cfRule>
  </conditionalFormatting>
  <conditionalFormatting sqref="W688:W690">
    <cfRule type="cellIs" priority="3312" operator="equal">
      <formula>"Premium"</formula>
    </cfRule>
  </conditionalFormatting>
  <conditionalFormatting sqref="W691">
    <cfRule type="cellIs" priority="3327" operator="equal">
      <formula>"Clássico"</formula>
    </cfRule>
  </conditionalFormatting>
  <conditionalFormatting sqref="W692:W697">
    <cfRule type="cellIs" priority="3332" operator="equal">
      <formula>"Premium"</formula>
    </cfRule>
  </conditionalFormatting>
  <conditionalFormatting sqref="W698:W699">
    <cfRule type="cellIs" priority="3362" operator="equal">
      <formula>"Clássico"</formula>
    </cfRule>
  </conditionalFormatting>
  <conditionalFormatting sqref="W700">
    <cfRule type="cellIs" priority="3372" operator="equal">
      <formula>"Premium"</formula>
    </cfRule>
  </conditionalFormatting>
  <conditionalFormatting sqref="W701">
    <cfRule type="cellIs" priority="3377" operator="equal">
      <formula>"Clássico"</formula>
    </cfRule>
  </conditionalFormatting>
  <conditionalFormatting sqref="W702">
    <cfRule type="cellIs" priority="3382" operator="equal">
      <formula>"Premium"</formula>
    </cfRule>
  </conditionalFormatting>
  <conditionalFormatting sqref="W703">
    <cfRule type="cellIs" priority="3387" operator="equal">
      <formula>"Clássico"</formula>
    </cfRule>
  </conditionalFormatting>
  <conditionalFormatting sqref="W704">
    <cfRule type="cellIs" priority="3392" operator="equal">
      <formula>"Premium"</formula>
    </cfRule>
  </conditionalFormatting>
  <conditionalFormatting sqref="W705">
    <cfRule type="cellIs" priority="3397" operator="equal">
      <formula>"Clássico"</formula>
    </cfRule>
  </conditionalFormatting>
  <conditionalFormatting sqref="W706">
    <cfRule type="cellIs" priority="3402" operator="equal">
      <formula>"Premium"</formula>
    </cfRule>
  </conditionalFormatting>
  <conditionalFormatting sqref="W707">
    <cfRule type="cellIs" priority="3407" operator="equal">
      <formula>"Clássico"</formula>
    </cfRule>
  </conditionalFormatting>
  <conditionalFormatting sqref="W708:W713">
    <cfRule type="cellIs" priority="3412" operator="equal">
      <formula>"Premium"</formula>
    </cfRule>
  </conditionalFormatting>
  <conditionalFormatting sqref="W714:W718">
    <cfRule type="cellIs" priority="3438" operator="equal">
      <formula>"Clássico"</formula>
    </cfRule>
  </conditionalFormatting>
  <conditionalFormatting sqref="W719">
    <cfRule type="cellIs" priority="3463" operator="equal">
      <formula>"Premium"</formula>
    </cfRule>
  </conditionalFormatting>
  <conditionalFormatting sqref="W720:W721">
    <cfRule type="cellIs" priority="3468" operator="equal">
      <formula>"Clássico"</formula>
    </cfRule>
  </conditionalFormatting>
  <conditionalFormatting sqref="W722">
    <cfRule type="cellIs" priority="3478" operator="equal">
      <formula>"Premium"</formula>
    </cfRule>
  </conditionalFormatting>
  <conditionalFormatting sqref="W723:W724">
    <cfRule type="cellIs" priority="3483" operator="equal">
      <formula>"Clássico"</formula>
    </cfRule>
  </conditionalFormatting>
  <conditionalFormatting sqref="W725">
    <cfRule type="cellIs" priority="3493" operator="equal">
      <formula>"Premium"</formula>
    </cfRule>
  </conditionalFormatting>
  <conditionalFormatting sqref="W726:W727">
    <cfRule type="cellIs" priority="3498" operator="equal">
      <formula>"Clássico"</formula>
    </cfRule>
  </conditionalFormatting>
  <conditionalFormatting sqref="W728">
    <cfRule type="cellIs" priority="3508" operator="equal">
      <formula>"Premium"</formula>
    </cfRule>
  </conditionalFormatting>
  <conditionalFormatting sqref="W729">
    <cfRule type="cellIs" priority="3513" operator="equal">
      <formula>"Clássico"</formula>
    </cfRule>
  </conditionalFormatting>
  <conditionalFormatting sqref="W730:W733">
    <cfRule type="cellIs" priority="3518" operator="equal">
      <formula>"Premium"</formula>
    </cfRule>
  </conditionalFormatting>
  <conditionalFormatting sqref="W734">
    <cfRule type="cellIs" priority="3538" operator="equal">
      <formula>"Clássico"</formula>
    </cfRule>
  </conditionalFormatting>
  <conditionalFormatting sqref="W735:W738">
    <cfRule type="cellIs" priority="3543" operator="equal">
      <formula>"Premium"</formula>
    </cfRule>
  </conditionalFormatting>
  <conditionalFormatting sqref="W739:W740">
    <cfRule type="cellIs" priority="3563" operator="equal">
      <formula>"Clássico"</formula>
    </cfRule>
  </conditionalFormatting>
  <conditionalFormatting sqref="W741:W742">
    <cfRule type="cellIs" priority="3573" operator="equal">
      <formula>"Premium"</formula>
    </cfRule>
  </conditionalFormatting>
  <conditionalFormatting sqref="W743">
    <cfRule type="cellIs" priority="3583" operator="equal">
      <formula>"Clássico"</formula>
    </cfRule>
  </conditionalFormatting>
  <conditionalFormatting sqref="W744">
    <cfRule type="cellIs" priority="3588" operator="equal">
      <formula>"Premium"</formula>
    </cfRule>
  </conditionalFormatting>
  <conditionalFormatting sqref="W745:W746">
    <cfRule type="cellIs" priority="3593" operator="equal">
      <formula>"Clássico"</formula>
    </cfRule>
  </conditionalFormatting>
  <conditionalFormatting sqref="W747">
    <cfRule type="cellIs" priority="3603" operator="equal">
      <formula>"Premium"</formula>
    </cfRule>
  </conditionalFormatting>
  <conditionalFormatting sqref="W748">
    <cfRule type="cellIs" priority="3608" operator="equal">
      <formula>"Clássico"</formula>
    </cfRule>
  </conditionalFormatting>
  <conditionalFormatting sqref="W749">
    <cfRule type="cellIs" priority="3613" operator="equal">
      <formula>"Premium"</formula>
    </cfRule>
  </conditionalFormatting>
  <conditionalFormatting sqref="W750:W751">
    <cfRule type="cellIs" priority="3618" operator="equal">
      <formula>"Clássico"</formula>
    </cfRule>
  </conditionalFormatting>
  <conditionalFormatting sqref="W752:W753">
    <cfRule type="cellIs" priority="3628" operator="equal">
      <formula>"Premium"</formula>
    </cfRule>
  </conditionalFormatting>
  <conditionalFormatting sqref="W754:W757">
    <cfRule type="cellIs" priority="3638" operator="equal">
      <formula>"Clássico"</formula>
    </cfRule>
  </conditionalFormatting>
  <conditionalFormatting sqref="W758">
    <cfRule type="cellIs" priority="3658" operator="equal">
      <formula>"Premium"</formula>
    </cfRule>
  </conditionalFormatting>
  <conditionalFormatting sqref="W759:W761">
    <cfRule type="cellIs" priority="3663" operator="equal">
      <formula>"Clássico"</formula>
    </cfRule>
  </conditionalFormatting>
  <conditionalFormatting sqref="W762">
    <cfRule type="cellIs" priority="3677" operator="equal">
      <formula>"Premium"</formula>
    </cfRule>
  </conditionalFormatting>
  <conditionalFormatting sqref="W763:W765">
    <cfRule type="cellIs" priority="3682" operator="equal">
      <formula>"Clássico"</formula>
    </cfRule>
  </conditionalFormatting>
  <conditionalFormatting sqref="W766">
    <cfRule type="cellIs" priority="3697" operator="equal">
      <formula>"Premium"</formula>
    </cfRule>
  </conditionalFormatting>
  <conditionalFormatting sqref="W767:W768">
    <cfRule type="cellIs" priority="3702" operator="equal">
      <formula>"Clássico"</formula>
    </cfRule>
  </conditionalFormatting>
  <conditionalFormatting sqref="W769">
    <cfRule type="cellIs" priority="3712" operator="equal">
      <formula>"Premium"</formula>
    </cfRule>
  </conditionalFormatting>
  <conditionalFormatting sqref="W770">
    <cfRule type="cellIs" priority="3717" operator="equal">
      <formula>"Clássico"</formula>
    </cfRule>
  </conditionalFormatting>
  <conditionalFormatting sqref="W771:W775">
    <cfRule type="cellIs" priority="3722" operator="equal">
      <formula>"Premium"</formula>
    </cfRule>
  </conditionalFormatting>
  <conditionalFormatting sqref="W776">
    <cfRule type="cellIs" priority="3747" operator="equal">
      <formula>"Clássico"</formula>
    </cfRule>
  </conditionalFormatting>
  <conditionalFormatting sqref="W777:W778">
    <cfRule type="cellIs" priority="3752" operator="equal">
      <formula>"Premium"</formula>
    </cfRule>
  </conditionalFormatting>
  <conditionalFormatting sqref="W779">
    <cfRule type="cellIs" priority="3762" operator="equal">
      <formula>"Clássico"</formula>
    </cfRule>
  </conditionalFormatting>
  <conditionalFormatting sqref="W780:W782">
    <cfRule type="cellIs" priority="3767" operator="equal">
      <formula>"Premium"</formula>
    </cfRule>
  </conditionalFormatting>
  <conditionalFormatting sqref="W783:W784">
    <cfRule type="cellIs" priority="3781" operator="equal">
      <formula>"Clássico"</formula>
    </cfRule>
  </conditionalFormatting>
  <conditionalFormatting sqref="W785">
    <cfRule type="cellIs" priority="3789" operator="equal">
      <formula>"Premium"</formula>
    </cfRule>
  </conditionalFormatting>
  <conditionalFormatting sqref="W786:W796">
    <cfRule type="cellIs" priority="3793" operator="equal">
      <formula>"Clássico"</formula>
    </cfRule>
  </conditionalFormatting>
  <conditionalFormatting sqref="W797">
    <cfRule type="cellIs" priority="3837" operator="equal">
      <formula>"Premium"</formula>
    </cfRule>
  </conditionalFormatting>
  <conditionalFormatting sqref="W798">
    <cfRule type="cellIs" priority="3841" operator="equal">
      <formula>"Clássico"</formula>
    </cfRule>
  </conditionalFormatting>
  <conditionalFormatting sqref="W799:W801">
    <cfRule type="cellIs" priority="3845" operator="equal">
      <formula>"Premium"</formula>
    </cfRule>
  </conditionalFormatting>
  <conditionalFormatting sqref="W802">
    <cfRule type="cellIs" priority="3857" operator="equal">
      <formula>"Clássico"</formula>
    </cfRule>
  </conditionalFormatting>
  <conditionalFormatting sqref="W803">
    <cfRule type="cellIs" priority="3861" operator="equal">
      <formula>"Premium"</formula>
    </cfRule>
  </conditionalFormatting>
  <conditionalFormatting sqref="W804:W805">
    <cfRule type="cellIs" priority="3865" operator="equal">
      <formula>"Clássico"</formula>
    </cfRule>
  </conditionalFormatting>
  <conditionalFormatting sqref="W806">
    <cfRule type="cellIs" priority="3873" operator="equal">
      <formula>"Premium"</formula>
    </cfRule>
  </conditionalFormatting>
  <conditionalFormatting sqref="W807:W808">
    <cfRule type="cellIs" priority="3877" operator="equal">
      <formula>"Clássico"</formula>
    </cfRule>
  </conditionalFormatting>
  <conditionalFormatting sqref="W809">
    <cfRule type="cellIs" priority="3885" operator="equal">
      <formula>"Premium"</formula>
    </cfRule>
  </conditionalFormatting>
  <conditionalFormatting sqref="W810:W821">
    <cfRule type="cellIs" priority="3889" operator="equal">
      <formula>"Clássico"</formula>
    </cfRule>
  </conditionalFormatting>
  <conditionalFormatting sqref="W822">
    <cfRule type="cellIs" priority="3937" operator="equal">
      <formula>"Premium"</formula>
    </cfRule>
  </conditionalFormatting>
  <conditionalFormatting sqref="W823">
    <cfRule type="cellIs" priority="3941" operator="equal">
      <formula>"Clássico"</formula>
    </cfRule>
  </conditionalFormatting>
  <conditionalFormatting sqref="W824">
    <cfRule type="cellIs" priority="3945" operator="equal">
      <formula>"Premium"</formula>
    </cfRule>
  </conditionalFormatting>
  <conditionalFormatting sqref="W825:W834">
    <cfRule type="cellIs" priority="3949" operator="equal">
      <formula>"Clássico"</formula>
    </cfRule>
  </conditionalFormatting>
  <conditionalFormatting sqref="W835">
    <cfRule type="cellIs" priority="3989" operator="equal">
      <formula>"Premium"</formula>
    </cfRule>
  </conditionalFormatting>
  <conditionalFormatting sqref="W836:W837">
    <cfRule type="cellIs" priority="3993" operator="equal">
      <formula>"Clássico"</formula>
    </cfRule>
  </conditionalFormatting>
  <conditionalFormatting sqref="W838:W840">
    <cfRule type="cellIs" priority="4001" operator="equal">
      <formula>"Premium"</formula>
    </cfRule>
  </conditionalFormatting>
  <conditionalFormatting sqref="W841:W844">
    <cfRule type="cellIs" priority="4013" operator="equal">
      <formula>"Clássico"</formula>
    </cfRule>
  </conditionalFormatting>
  <conditionalFormatting sqref="W845">
    <cfRule type="cellIs" priority="4029" operator="equal">
      <formula>"Premium"</formula>
    </cfRule>
  </conditionalFormatting>
  <conditionalFormatting sqref="W846:W851">
    <cfRule type="cellIs" priority="4033" operator="equal">
      <formula>"Clássico"</formula>
    </cfRule>
  </conditionalFormatting>
  <conditionalFormatting sqref="W852">
    <cfRule type="cellIs" priority="4057" operator="equal">
      <formula>"Premium"</formula>
    </cfRule>
  </conditionalFormatting>
  <conditionalFormatting sqref="W853:W868">
    <cfRule type="cellIs" priority="4061" operator="equal">
      <formula>"Clássico"</formula>
    </cfRule>
  </conditionalFormatting>
  <conditionalFormatting sqref="W869">
    <cfRule type="cellIs" priority="4125" operator="equal">
      <formula>"Premium"</formula>
    </cfRule>
  </conditionalFormatting>
  <conditionalFormatting sqref="W870:W874">
    <cfRule type="cellIs" priority="4129" operator="equal">
      <formula>"Clássico"</formula>
    </cfRule>
  </conditionalFormatting>
  <conditionalFormatting sqref="W875:W877">
    <cfRule type="cellIs" priority="4149" operator="equal">
      <formula>"Premium"</formula>
    </cfRule>
  </conditionalFormatting>
  <conditionalFormatting sqref="W878:W881">
    <cfRule type="cellIs" priority="4161" operator="equal">
      <formula>"Clássico"</formula>
    </cfRule>
  </conditionalFormatting>
  <conditionalFormatting sqref="W882:W887">
    <cfRule type="cellIs" priority="4177" operator="equal">
      <formula>"Premium"</formula>
    </cfRule>
  </conditionalFormatting>
  <conditionalFormatting sqref="W888:W899">
    <cfRule type="cellIs" priority="4196" operator="equal">
      <formula>"Clássico"</formula>
    </cfRule>
  </conditionalFormatting>
  <conditionalFormatting sqref="W900">
    <cfRule type="cellIs" priority="4255" operator="equal">
      <formula>"Premium"</formula>
    </cfRule>
  </conditionalFormatting>
  <conditionalFormatting sqref="W901">
    <cfRule type="cellIs" priority="4260" operator="equal">
      <formula>"Clássico"</formula>
    </cfRule>
  </conditionalFormatting>
  <conditionalFormatting sqref="W902">
    <cfRule type="cellIs" priority="4265" operator="equal">
      <formula>"Premium"</formula>
    </cfRule>
  </conditionalFormatting>
  <conditionalFormatting sqref="W903:W907">
    <cfRule type="cellIs" priority="4270" operator="equal">
      <formula>"Clássico"</formula>
    </cfRule>
  </conditionalFormatting>
  <conditionalFormatting sqref="W908">
    <cfRule type="cellIs" priority="4295" operator="equal">
      <formula>"Premium"</formula>
    </cfRule>
  </conditionalFormatting>
  <conditionalFormatting sqref="W909:W913">
    <cfRule type="cellIs" priority="4300" operator="equal">
      <formula>"Clássico"</formula>
    </cfRule>
  </conditionalFormatting>
  <conditionalFormatting sqref="W914">
    <cfRule type="cellIs" priority="4324" operator="equal">
      <formula>"Premium"</formula>
    </cfRule>
  </conditionalFormatting>
  <conditionalFormatting sqref="W915:W952">
    <cfRule type="cellIs" priority="4329" operator="equal">
      <formula>"Clássico"</formula>
    </cfRule>
  </conditionalFormatting>
  <conditionalFormatting sqref="W953">
    <cfRule type="cellIs" priority="4513" operator="equal">
      <formula>"Premium"</formula>
    </cfRule>
  </conditionalFormatting>
  <conditionalFormatting sqref="W954:W955">
    <cfRule type="cellIs" priority="4517" operator="equal">
      <formula>"Clássico"</formula>
    </cfRule>
  </conditionalFormatting>
  <conditionalFormatting sqref="W956">
    <cfRule type="cellIs" priority="4525" operator="equal">
      <formula>"Premium"</formula>
    </cfRule>
  </conditionalFormatting>
  <conditionalFormatting sqref="W957:W958">
    <cfRule type="cellIs" priority="4529" operator="equal">
      <formula>"Clássico"</formula>
    </cfRule>
  </conditionalFormatting>
  <conditionalFormatting sqref="Y6:Y881">
    <cfRule type="cellIs" priority="5" operator="equal">
      <formula>"Ativo"</formula>
    </cfRule>
  </conditionalFormatting>
  <conditionalFormatting sqref="Y888:Y958">
    <cfRule type="cellIs" priority="4197" operator="equal">
      <formula>"Inativo"</formula>
    </cfRule>
  </conditionalFormatting>
  <dataValidations count="11">
    <dataValidation type="list" allowBlank="1" showInputMessage="1" showErrorMessage="1" sqref="J6:J958" xr:uid="{00000000-0002-0000-0200-000000000000}">
      <formula1>"R$"</formula1>
    </dataValidation>
    <dataValidation type="list" allowBlank="1" showInputMessage="1" showErrorMessage="1" sqref="U620 U567 U563 U554 U506 U463 U431 U390 U364:U365 U88 U82 U76 U6:U7" xr:uid="{00000000-0002-0000-0200-000001000000}">
      <formula1>"Novo,Recondicionado"</formula1>
    </dataValidation>
    <dataValidation type="list" allowBlank="1" showInputMessage="1" showErrorMessage="1" sqref="V952 V948:V949 V945 V940:V942 V936 V931:V934 V920:V923 V912:V914 V910 V907:V908 V904:V905 V897:V902 V874:V895 V871 V860:V869 V857 V853:V855 V844:V851 V841:V842 V837 V829:V833 V824:V827 V822 V818:V819 V798:V814 V795:V796 V790:V791 V788 V784:V786 V778:V782 V770:V773 V766:V768 V710:V764 V686 V684 V673:V675 V669:V671 V663:V667 V655:V661 V642:V653 V638 V630:V632 V623:V624 V619:V620 V602:V617 V598:V599 V596 V590:V591 V586:V587 V579 V564:V576 V560:V562 V543:V556 V525:V541 V508:V520 V496:V506 V490:V494 V485:V488 V480:V483 V459:V474 V442:V456 V436:V440 V434 V427:V432 V424:V425 V416:V422 V412:V414 V403:V407 V401 V379:V398 V374:V377 V372 V368 V366 V363:V364 V361 V348:V357 V320:V346 V314:V315 V311 V299:V301 V281:V283 V256:V278 V252 V247:V249 V231:V243 V221:V229 V210:V219 V206:V208 V196 V191:V192 V187 V170:V185 V168 V158:V166 V155 V152:V153 V150 V140:V148 V131:V138 V127 V121:V123 V117 V109:V115 V95:V104 V91:V93 V87:V88 V80:V84 V78 V73:V75 V52:V70 V14:V50 V6:V12" xr:uid="{00000000-0002-0000-0200-000002000000}">
      <formula1>"Mercado Envios por conta do comprador,Mercado Envios grátis"</formula1>
    </dataValidation>
    <dataValidation type="list" allowBlank="1" showInputMessage="1" showErrorMessage="1" sqref="W888:W958 W6:W881" xr:uid="{00000000-0002-0000-0200-000003000000}">
      <formula1>"Clássico,Premium"</formula1>
    </dataValidation>
    <dataValidation type="list" allowBlank="1" showInputMessage="1" showErrorMessage="1" sqref="Y888:Y958 Y6:Y881" xr:uid="{00000000-0002-0000-0200-000004000000}">
      <formula1>"Ativo,Inativo"</formula1>
    </dataValidation>
    <dataValidation type="list" allowBlank="1" showInputMessage="1" showErrorMessage="1" sqref="U8 U952:U953 U946:U950 U924:U944 U913:U919 U901:U911 U888:U899 U780:U782 U763:U778 U715:U761 U685:U710 U672:U683 U664 U632:U645 U625:U630 U621:U623 U600:U619 U592:U598 U568:U589 U565 U555:U562 U549:U553 U516:U547 U512:U514 U507:U510 U501:U505 U464:U499 U435:U462 U432:U433 U429:U430 U425:U427 U422:U423 U417:U420 U391:U415 U382:U388 U284:U363 U281:U282 U261 U259 U244:U257 U240:U242 U236 U234 U227:U232 U208:U224 U184:U205 U144:U181 U139:U141 U122:U137 U118:U120 U104:U116 U89:U102 U83:U87 U79:U80 U77 U68:U75 U61:U66 U58:U59 U53:U56 U51 U32:U49 U20:U30 U17:U18 U11:U15" xr:uid="{00000000-0002-0000-0200-00000B000000}">
      <formula1>"Novo"</formula1>
    </dataValidation>
    <dataValidation type="list" allowBlank="1" showInputMessage="1" showErrorMessage="1" sqref="V13 V953:V958 V950:V951 V946:V947 V943:V944 V937:V939 V935 V924:V930 V915:V919 V911 V909 V906 V903 V896 V872:V873 V870 V858:V859 V856 V852 V843 V838:V840 V834:V836 V828 V823 V820:V821 V815:V817 V797 V792:V794 V789 V787 V783 V774:V777 V769 V765 V687:V709 V685 V676:V683 V672 V668 V662 V654 V639:V641 V633:V637 V625:V629 V621:V622 V618 V600:V601 V597 V592:V595 V588:V589 V580:V585 V577:V578 V563 V557:V559 V542 V521:V524 V507 V495 V489 V484 V475:V479 V457:V458 V441 V435 V433 V426 V423 V415 V408:V411 V402 V399:V400 V378 V373 V369:V371 V367 V365 V362 V358:V360 V316:V319 V312:V313 V302:V310 V284:V298 V279:V280 V253:V255 V250:V251 V244:V246 V230 V220 V209 V197:V205 V193:V195 V188:V190 V186 V169 V167 V156:V157 V154 V151 V149 V139 V128:V130 V124:V126 V118:V120 V116 V105:V108 V94 V89:V90 V85:V86 V79 V76:V77 V71:V72" xr:uid="{00000000-0002-0000-0200-000023000000}">
      <formula1>"Envios por minha conta a cargo do comprador,Frete grátis por conta própria,Não faço envios"</formula1>
    </dataValidation>
    <dataValidation type="list" allowBlank="1" showInputMessage="1" showErrorMessage="1" sqref="U16 U684" xr:uid="{00000000-0002-0000-0200-000031000000}">
      <formula1>"Usado,Novo"</formula1>
    </dataValidation>
    <dataValidation type="list" allowBlank="1" showInputMessage="1" showErrorMessage="1" sqref="U52 U779 U225 U143 U121" xr:uid="{00000000-0002-0000-0200-0000E1000000}">
      <formula1>"Novo,Usado,Recondicionado"</formula1>
    </dataValidation>
    <dataValidation type="list" allowBlank="1" showInputMessage="1" showErrorMessage="1" sqref="U206 U631 U566 U434 U283" xr:uid="{00000000-0002-0000-0200-0000D8030000}">
      <formula1>"Novo,Usado"</formula1>
    </dataValidation>
    <dataValidation type="list" allowBlank="1" showInputMessage="1" showErrorMessage="1" sqref="W882:W887" xr:uid="{00000000-0002-0000-0200-000050100000}">
      <formula1>"Premium"</formula1>
    </dataValidation>
  </dataValidations>
  <pageMargins left="0.7" right="0.7" top="0.75" bottom="0.75" header="0.3" footer="0.3"/>
  <ignoredErrors>
    <ignoredError sqref="A5:A10001 B5:B10001 C5:C10001 D5:D10001 E5:E10001 F5:F10001 G5:G10001 H5:H10001 I5:I10001 J5:J10001 K5:K10001 L5:L10001 M5:M10001 N5:N10001 O5:O10001 P5:P10001 Q5:Q10001 R5:R10001 S5:S10001 T5:T10001 U5:U10001 V5:V10001 W5:W10001 X5:X10001 Y5:Y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Anúncios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2026-04-27T17:45:01Z</dcterms:modified>
</cp:coreProperties>
</file>